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2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<sst xmlns="http://schemas.openxmlformats.org/spreadsheetml/2006/main" count="531" uniqueCount="88">
  <si>
    <t>物理碳排放</t>
  </si>
  <si>
    <t>13家全披露，1家仅披露24年，6家均未披露</t>
  </si>
  <si>
    <t>企业</t>
  </si>
  <si>
    <t>当年碳排放量（万吨）</t>
  </si>
  <si>
    <t>当年产量（万吨）</t>
  </si>
  <si>
    <t>基准年碳排放量</t>
  </si>
  <si>
    <t>基准年产量</t>
  </si>
  <si>
    <t>当期物理碳强度</t>
  </si>
  <si>
    <t>基准期物理碳强度</t>
  </si>
  <si>
    <t>改进率</t>
  </si>
  <si>
    <t>N自</t>
  </si>
  <si>
    <t>自身维度得分 *0.3</t>
  </si>
  <si>
    <t>N行</t>
  </si>
  <si>
    <t>行业维度得分 *0.7</t>
  </si>
  <si>
    <t>中信特钢</t>
  </si>
  <si>
    <t>柳钢股份</t>
  </si>
  <si>
    <t>重庆钢铁</t>
  </si>
  <si>
    <t>杭钢股份</t>
  </si>
  <si>
    <t>八一钢铁</t>
  </si>
  <si>
    <t>太钢不锈</t>
  </si>
  <si>
    <t>宝山钢铁</t>
  </si>
  <si>
    <t>河钢股份</t>
  </si>
  <si>
    <t>中南股份</t>
  </si>
  <si>
    <t>山东钢铁</t>
  </si>
  <si>
    <t>首钢股份</t>
  </si>
  <si>
    <t>马钢股份</t>
  </si>
  <si>
    <t>新钢股份</t>
  </si>
  <si>
    <t>南钢股份</t>
  </si>
  <si>
    <t>宝武钢铁</t>
  </si>
  <si>
    <t>华菱钢铁</t>
  </si>
  <si>
    <t>包钢股份</t>
  </si>
  <si>
    <t>鞍钢股份</t>
  </si>
  <si>
    <t>本钢板材</t>
  </si>
  <si>
    <t>凌钢股份</t>
  </si>
  <si>
    <t>营收碳排放</t>
  </si>
  <si>
    <t>当年营业收入（亿元）</t>
  </si>
  <si>
    <t>基准年营业收入</t>
  </si>
  <si>
    <t>当期营收碳排放强度</t>
  </si>
  <si>
    <t>基准期碳营收排放强度</t>
  </si>
  <si>
    <t>自发可再生电量（部分按照1吨标准煤等于8.141兆瓦计算）
来源：中国百科网 https://www.zgbk.com/ecph/words?SiteID=1&amp;ID=149741&amp;Type=bkzyb&amp;SubID=59926</t>
  </si>
  <si>
    <t>14家全披露，2家仅披露24年，4家均未披露</t>
  </si>
  <si>
    <t>当年自发可再生能源电量（MWh）</t>
  </si>
  <si>
    <t>当年总能源消耗（MWh）</t>
  </si>
  <si>
    <t>基准年自发可再生能源电量</t>
  </si>
  <si>
    <t>基准年总能源消耗</t>
  </si>
  <si>
    <t>当期占比</t>
  </si>
  <si>
    <t>基准期占比</t>
  </si>
  <si>
    <t>提升率</t>
  </si>
  <si>
    <t>自身维度*0.3</t>
  </si>
  <si>
    <t>行业维度*0.7</t>
  </si>
  <si>
    <t>外购绿电（部分按照1吨标准煤等于8.141兆瓦计算）
来源：中国百科网 https://www.zgbk.com/ecph/words?SiteID=1&amp;ID=149741&amp;Type=bkzyb&amp;SubID=59926</t>
  </si>
  <si>
    <t>10家全披露，2家仅披露24年，8家均未披露</t>
  </si>
  <si>
    <t>当年企业外购绿电电量</t>
  </si>
  <si>
    <t>当年总能源消耗</t>
  </si>
  <si>
    <t>基准年企业外购绿电电量</t>
  </si>
  <si>
    <t>用水效率（吨钢耗新水量，部分直接采用报告披露的吨钢新水量数据）</t>
  </si>
  <si>
    <t>17家全披露，2家仅披露24年，1家均未披露</t>
  </si>
  <si>
    <t>当期新水量（立方米）</t>
  </si>
  <si>
    <t>当期产量（吨）</t>
  </si>
  <si>
    <t>基准年新水量</t>
  </si>
  <si>
    <t>当期吨钢新水耗（立方米/吨）</t>
  </si>
  <si>
    <t>基准年吨钢新水耗</t>
  </si>
  <si>
    <t>当期吨钢新水耗</t>
  </si>
  <si>
    <t>本钢新材</t>
  </si>
  <si>
    <t>稳就业促就业</t>
  </si>
  <si>
    <t>20家全披露</t>
  </si>
  <si>
    <t>2024年员工人数（人）</t>
  </si>
  <si>
    <t>2023年员工人数</t>
  </si>
  <si>
    <t>年度变化率</t>
  </si>
  <si>
    <t xml:space="preserve">行业相对就业表现得分 </t>
  </si>
  <si>
    <t>研发投入占比</t>
  </si>
  <si>
    <t>当期研发投入（亿元）</t>
  </si>
  <si>
    <t>当期营业收入</t>
  </si>
  <si>
    <t>基准年研发投入</t>
  </si>
  <si>
    <t>节能技改占比</t>
  </si>
  <si>
    <t>5家全披露，2家仅披露24年，13家均未披露</t>
  </si>
  <si>
    <t>当期节能技改投资（亿元）</t>
  </si>
  <si>
    <t>基准年节能技改投资</t>
  </si>
  <si>
    <t>基准年占比</t>
  </si>
  <si>
    <t>环保投入占比</t>
  </si>
  <si>
    <t>19家全披露，1家23、24年均未披露</t>
  </si>
  <si>
    <t>当期环保投入（亿元）</t>
  </si>
  <si>
    <t>基准年环保投入</t>
  </si>
  <si>
    <t>废钢回收</t>
  </si>
  <si>
    <t>6家全披露，1家仅披露24年，13家均未披露</t>
  </si>
  <si>
    <t>当期废品回收总量（万吨）</t>
  </si>
  <si>
    <t>当期产量（万吨）</t>
  </si>
  <si>
    <t>基准年废品回收总量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</si>
</sst>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0_ "/>
    <numFmt numFmtId="178" formatCode="0.000_ "/>
    <numFmt numFmtId="179" formatCode="0.00000_ "/>
    <numFmt numFmtId="180" formatCode="0.00000"/>
    <numFmt numFmtId="181" formatCode="0.0000_ "/>
  </numFmts>
  <fonts count="2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color theme="1"/>
      <name val="DengXian"/>
      <charset val="134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color rgb="FF000000"/>
      <name val="DengXian"/>
      <charset val="134"/>
    </font>
    <font>
      <sz val="12"/>
      <name val="宋体"/>
      <charset val="134"/>
      <scheme val="minor"/>
    </font>
    <font>
      <b/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176" fontId="4" fillId="0" borderId="0" xfId="0" applyNumberFormat="1" applyFont="1" applyFill="1" applyAlignment="1">
      <alignment vertical="center"/>
    </xf>
    <xf numFmtId="177" fontId="4" fillId="0" borderId="0" xfId="0" applyNumberFormat="1" applyFont="1" applyFill="1" applyAlignment="1">
      <alignment vertical="center"/>
    </xf>
    <xf numFmtId="2" fontId="4" fillId="0" borderId="0" xfId="0" applyNumberFormat="1" applyFont="1" applyFill="1" applyAlignment="1">
      <alignment vertical="center"/>
    </xf>
    <xf numFmtId="178" fontId="4" fillId="0" borderId="0" xfId="0" applyNumberFormat="1" applyFont="1" applyFill="1" applyAlignment="1">
      <alignment vertical="center"/>
    </xf>
    <xf numFmtId="1" fontId="4" fillId="0" borderId="0" xfId="0" applyNumberFormat="1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79" fontId="4" fillId="0" borderId="0" xfId="0" applyNumberFormat="1" applyFont="1" applyFill="1" applyAlignment="1">
      <alignment vertical="center"/>
    </xf>
    <xf numFmtId="180" fontId="4" fillId="0" borderId="0" xfId="0" applyNumberFormat="1" applyFont="1" applyFill="1" applyAlignment="1">
      <alignment vertical="center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9" fontId="4" fillId="0" borderId="0" xfId="3" applyFont="1">
      <alignment vertical="center"/>
    </xf>
    <xf numFmtId="2" fontId="4" fillId="0" borderId="0" xfId="3" applyNumberFormat="1" applyFont="1">
      <alignment vertical="center"/>
    </xf>
    <xf numFmtId="0" fontId="8" fillId="0" borderId="0" xfId="0" applyFont="1" applyFill="1" applyAlignment="1">
      <alignment vertical="center"/>
    </xf>
    <xf numFmtId="181" fontId="4" fillId="0" borderId="0" xfId="0" applyNumberFormat="1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4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91"/>
  <sheetViews>
    <sheetView tabSelected="1" zoomScale="76" zoomScaleNormal="76" topLeftCell="A56" workbookViewId="0">
      <selection activeCell="D125" sqref="D125"/>
    </sheetView>
  </sheetViews>
  <sheetFormatPr defaultColWidth="9.23076923076923" defaultRowHeight="16.8"/>
  <cols>
    <col min="1" max="1" width="14.8846153846154" customWidth="1"/>
    <col min="2" max="2" width="27.5192307692308" customWidth="1"/>
    <col min="3" max="3" width="22.6153846153846" customWidth="1"/>
    <col min="4" max="4" width="23.9326923076923" customWidth="1"/>
    <col min="5" max="5" width="25.4423076923077" customWidth="1"/>
    <col min="6" max="6" width="24.3461538461538" customWidth="1"/>
    <col min="7" max="7" width="25.7980769230769" customWidth="1"/>
    <col min="8" max="8" width="19.7884615384615" customWidth="1"/>
    <col min="9" max="9" width="23.5865384615385" customWidth="1"/>
    <col min="10" max="10" width="22.2596153846154" customWidth="1"/>
    <col min="11" max="11" width="16.0288461538462" customWidth="1"/>
    <col min="12" max="12" width="16.6923076923077" customWidth="1"/>
    <col min="13" max="13" width="19.1346153846154" customWidth="1"/>
    <col min="14" max="14" width="14.6826923076923" customWidth="1"/>
    <col min="15" max="15" width="22.9230769230769" customWidth="1"/>
    <col min="16" max="16" width="26.3365384615385" customWidth="1"/>
  </cols>
  <sheetData>
    <row r="1" spans="1:15">
      <c r="A1" s="1" t="s">
        <v>0</v>
      </c>
      <c r="B1" s="1"/>
      <c r="C1" s="2" t="s">
        <v>1</v>
      </c>
      <c r="D1" s="2"/>
    </row>
    <row r="2" ht="17.6" spans="1:15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/>
      <c r="L2" s="3" t="s">
        <v>2</v>
      </c>
      <c r="M2" s="4" t="s">
        <v>7</v>
      </c>
      <c r="N2" s="4" t="s">
        <v>12</v>
      </c>
      <c r="O2" s="4" t="s">
        <v>13</v>
      </c>
    </row>
    <row r="3" ht="17.6" spans="1:15">
      <c r="A3" s="3" t="s">
        <v>14</v>
      </c>
      <c r="B3" s="4">
        <v>3561</v>
      </c>
      <c r="C3" s="4">
        <v>2016</v>
      </c>
      <c r="D3" s="4">
        <v>3871</v>
      </c>
      <c r="E3" s="4">
        <v>1986</v>
      </c>
      <c r="F3" s="5">
        <f t="shared" ref="F3:F15" si="0">B3/C3</f>
        <v>1.76636904761905</v>
      </c>
      <c r="G3" s="5">
        <f t="shared" ref="G3:G15" si="1">D3/E3</f>
        <v>1.94914400805639</v>
      </c>
      <c r="H3" s="5">
        <f t="shared" ref="H3:H15" si="2">(G3-F3)/G3</f>
        <v>0.0937719120197808</v>
      </c>
      <c r="I3" s="6">
        <v>10</v>
      </c>
      <c r="J3" s="7">
        <f t="shared" ref="J3:J15" si="3">I3*0.3</f>
        <v>3</v>
      </c>
      <c r="K3" s="4"/>
      <c r="L3" s="3" t="s">
        <v>15</v>
      </c>
      <c r="M3" s="4">
        <v>1.082</v>
      </c>
      <c r="N3" s="4">
        <v>10</v>
      </c>
      <c r="O3" s="7">
        <f t="shared" ref="O3:O16" si="4">N3*0.7</f>
        <v>7</v>
      </c>
    </row>
    <row r="4" ht="17.6" spans="1:15">
      <c r="A4" s="3" t="s">
        <v>15</v>
      </c>
      <c r="B4" s="4">
        <v>2014</v>
      </c>
      <c r="C4" s="4">
        <v>1861</v>
      </c>
      <c r="D4" s="4">
        <v>2275</v>
      </c>
      <c r="E4" s="4">
        <v>1968</v>
      </c>
      <c r="F4" s="5">
        <f t="shared" si="0"/>
        <v>1.08221386351424</v>
      </c>
      <c r="G4" s="5">
        <f t="shared" si="1"/>
        <v>1.15599593495935</v>
      </c>
      <c r="H4" s="5">
        <f t="shared" si="2"/>
        <v>0.0638255457599895</v>
      </c>
      <c r="I4" s="7">
        <v>10</v>
      </c>
      <c r="J4" s="7">
        <f t="shared" si="3"/>
        <v>3</v>
      </c>
      <c r="K4" s="4"/>
      <c r="L4" s="3" t="s">
        <v>16</v>
      </c>
      <c r="M4" s="4">
        <v>1.526</v>
      </c>
      <c r="N4" s="7">
        <f>10*((M14-M4)/(M14-M3))</f>
        <v>5.6039603960396</v>
      </c>
      <c r="O4" s="7">
        <f t="shared" si="4"/>
        <v>3.92277227722772</v>
      </c>
    </row>
    <row r="5" ht="17.6" spans="1:15">
      <c r="A5" s="3" t="s">
        <v>17</v>
      </c>
      <c r="B5" s="4">
        <v>871</v>
      </c>
      <c r="C5" s="4">
        <v>429</v>
      </c>
      <c r="D5" s="4">
        <v>953</v>
      </c>
      <c r="E5" s="4">
        <v>452</v>
      </c>
      <c r="F5" s="5">
        <f t="shared" si="0"/>
        <v>2.03030303030303</v>
      </c>
      <c r="G5" s="5">
        <f t="shared" si="1"/>
        <v>2.10840707964602</v>
      </c>
      <c r="H5" s="5">
        <f t="shared" si="2"/>
        <v>0.0370441031511335</v>
      </c>
      <c r="I5" s="6">
        <f>10*((H5-H15)/(H4-H15))</f>
        <v>8.39352064985571</v>
      </c>
      <c r="J5" s="7">
        <f t="shared" si="3"/>
        <v>2.51805619495671</v>
      </c>
      <c r="K5" s="4"/>
      <c r="L5" s="3" t="s">
        <v>18</v>
      </c>
      <c r="M5" s="4">
        <v>1.571</v>
      </c>
      <c r="N5" s="7">
        <f>10*((M15-M5)/(M15-M3))</f>
        <v>5.3954802259887</v>
      </c>
      <c r="O5" s="7">
        <f t="shared" si="4"/>
        <v>3.77683615819209</v>
      </c>
    </row>
    <row r="6" ht="17.6" spans="1:15">
      <c r="A6" s="3" t="s">
        <v>19</v>
      </c>
      <c r="B6" s="4">
        <v>2115</v>
      </c>
      <c r="C6" s="4">
        <v>1318</v>
      </c>
      <c r="D6" s="4">
        <v>2180</v>
      </c>
      <c r="E6" s="4">
        <v>1317</v>
      </c>
      <c r="F6" s="5">
        <f t="shared" si="0"/>
        <v>1.60470409711684</v>
      </c>
      <c r="G6" s="5">
        <f t="shared" si="1"/>
        <v>1.65527714502658</v>
      </c>
      <c r="H6" s="5">
        <f t="shared" si="2"/>
        <v>0.0305526165583104</v>
      </c>
      <c r="I6" s="6">
        <f>10*((H6-H15)/(H4-H15))</f>
        <v>8.00413015601949</v>
      </c>
      <c r="J6" s="7">
        <f t="shared" si="3"/>
        <v>2.40123904680585</v>
      </c>
      <c r="K6" s="4"/>
      <c r="L6" s="3" t="s">
        <v>19</v>
      </c>
      <c r="M6" s="4">
        <v>1.605</v>
      </c>
      <c r="N6" s="7">
        <f>10*((M14-M6)/(M14-M3))</f>
        <v>4.82178217821782</v>
      </c>
      <c r="O6" s="7">
        <f t="shared" si="4"/>
        <v>3.37524752475248</v>
      </c>
    </row>
    <row r="7" ht="17.6" spans="1:15">
      <c r="A7" s="3" t="s">
        <v>20</v>
      </c>
      <c r="B7" s="4">
        <v>11024</v>
      </c>
      <c r="C7" s="4">
        <v>5141</v>
      </c>
      <c r="D7" s="4">
        <v>11350</v>
      </c>
      <c r="E7" s="4">
        <v>5194</v>
      </c>
      <c r="F7" s="5">
        <f t="shared" si="0"/>
        <v>2.14432989690722</v>
      </c>
      <c r="G7" s="5">
        <f t="shared" si="1"/>
        <v>2.18521370812476</v>
      </c>
      <c r="H7" s="5">
        <f t="shared" si="2"/>
        <v>0.0187092965166448</v>
      </c>
      <c r="I7" s="7">
        <f>10*((H7-H15)/(H4-H15))</f>
        <v>7.29371102879166</v>
      </c>
      <c r="J7" s="7">
        <f t="shared" si="3"/>
        <v>2.1881133086375</v>
      </c>
      <c r="K7" s="4"/>
      <c r="L7" s="3" t="s">
        <v>14</v>
      </c>
      <c r="M7" s="4">
        <v>1.766</v>
      </c>
      <c r="N7" s="7">
        <f>10*((M14-M7)/(M14-M3))</f>
        <v>3.22772277227723</v>
      </c>
      <c r="O7" s="7">
        <f t="shared" si="4"/>
        <v>2.25940594059406</v>
      </c>
    </row>
    <row r="8" ht="17.6" spans="1:15">
      <c r="A8" s="3" t="s">
        <v>21</v>
      </c>
      <c r="B8" s="4">
        <v>5405</v>
      </c>
      <c r="C8" s="4">
        <v>2642</v>
      </c>
      <c r="D8" s="4">
        <v>5281</v>
      </c>
      <c r="E8" s="4">
        <v>2539</v>
      </c>
      <c r="F8" s="5">
        <f t="shared" si="0"/>
        <v>2.04579863739591</v>
      </c>
      <c r="G8" s="5">
        <f t="shared" si="1"/>
        <v>2.07995273729815</v>
      </c>
      <c r="H8" s="5">
        <f t="shared" si="2"/>
        <v>0.0164206134542282</v>
      </c>
      <c r="I8" s="7">
        <f>10*((H8-H15)/(H4-H15))</f>
        <v>7.15642484400707</v>
      </c>
      <c r="J8" s="7">
        <f t="shared" si="3"/>
        <v>2.14692745320212</v>
      </c>
      <c r="K8" s="4"/>
      <c r="L8" s="3" t="s">
        <v>22</v>
      </c>
      <c r="M8" s="4">
        <v>1.811</v>
      </c>
      <c r="N8" s="6">
        <f>10*((M14-M8)/(M14-M3))</f>
        <v>2.78217821782178</v>
      </c>
      <c r="O8" s="6">
        <f t="shared" si="4"/>
        <v>1.94752475247525</v>
      </c>
    </row>
    <row r="9" ht="17.6" spans="1:15">
      <c r="A9" s="3" t="s">
        <v>22</v>
      </c>
      <c r="B9" s="4">
        <v>1416</v>
      </c>
      <c r="C9" s="4">
        <v>782</v>
      </c>
      <c r="D9" s="4">
        <v>1460</v>
      </c>
      <c r="E9" s="4">
        <v>802</v>
      </c>
      <c r="F9" s="8">
        <f t="shared" si="0"/>
        <v>1.81074168797954</v>
      </c>
      <c r="G9" s="8">
        <f t="shared" si="1"/>
        <v>1.82044887780549</v>
      </c>
      <c r="H9" s="8">
        <f t="shared" si="2"/>
        <v>0.0053323056441159</v>
      </c>
      <c r="I9" s="6">
        <f>10*((H9-H15)/(H4-H15))</f>
        <v>6.49129497086504</v>
      </c>
      <c r="J9" s="6">
        <f t="shared" si="3"/>
        <v>1.94738849125951</v>
      </c>
      <c r="K9" s="4"/>
      <c r="L9" s="3" t="s">
        <v>23</v>
      </c>
      <c r="M9" s="4">
        <v>1.82</v>
      </c>
      <c r="N9" s="7">
        <f>10*((M14-M9)/(M14-M3))</f>
        <v>2.69306930693069</v>
      </c>
      <c r="O9" s="7">
        <f t="shared" si="4"/>
        <v>1.88514851485149</v>
      </c>
    </row>
    <row r="10" ht="17.6" spans="1:15">
      <c r="A10" s="3" t="s">
        <v>16</v>
      </c>
      <c r="B10" s="4">
        <v>1161</v>
      </c>
      <c r="C10" s="4">
        <v>761</v>
      </c>
      <c r="D10" s="4">
        <v>1564</v>
      </c>
      <c r="E10" s="4">
        <v>1022</v>
      </c>
      <c r="F10" s="5">
        <f t="shared" si="0"/>
        <v>1.52562417871222</v>
      </c>
      <c r="G10" s="5">
        <f t="shared" si="1"/>
        <v>1.53033268101761</v>
      </c>
      <c r="H10" s="5">
        <f t="shared" si="2"/>
        <v>0.00307678347577398</v>
      </c>
      <c r="I10" s="7">
        <f>10*((H10-H15)/(H4-H15))</f>
        <v>6.35599793552028</v>
      </c>
      <c r="J10" s="7">
        <f t="shared" si="3"/>
        <v>1.90679938065608</v>
      </c>
      <c r="K10" s="4"/>
      <c r="L10" s="4" t="s">
        <v>24</v>
      </c>
      <c r="M10" s="4">
        <v>1.898</v>
      </c>
      <c r="N10" s="6">
        <f>10*((M14-M10)/(M14-M3))</f>
        <v>1.92079207920792</v>
      </c>
      <c r="O10" s="6">
        <f t="shared" si="4"/>
        <v>1.34455445544555</v>
      </c>
    </row>
    <row r="11" ht="17.6" spans="1:15">
      <c r="A11" s="4" t="s">
        <v>24</v>
      </c>
      <c r="B11" s="4">
        <v>4423</v>
      </c>
      <c r="C11" s="4">
        <v>2330</v>
      </c>
      <c r="D11" s="4">
        <v>4398</v>
      </c>
      <c r="E11" s="4">
        <v>2318</v>
      </c>
      <c r="F11" s="8">
        <f t="shared" si="0"/>
        <v>1.89828326180258</v>
      </c>
      <c r="G11" s="8">
        <f t="shared" si="1"/>
        <v>1.89732528041415</v>
      </c>
      <c r="H11" s="8">
        <f t="shared" si="2"/>
        <v>-0.000504911518501433</v>
      </c>
      <c r="I11" s="6">
        <f>10*((H11-H15)/(H4-H15))</f>
        <v>6.14115069480757</v>
      </c>
      <c r="J11" s="6">
        <f t="shared" si="3"/>
        <v>1.84234520844227</v>
      </c>
      <c r="K11" s="4"/>
      <c r="L11" s="3" t="s">
        <v>25</v>
      </c>
      <c r="M11" s="4">
        <v>2.008</v>
      </c>
      <c r="N11" s="7">
        <f>10*((M14-M11)/(M14-M3))</f>
        <v>0.831683168316832</v>
      </c>
      <c r="O11" s="7">
        <f t="shared" si="4"/>
        <v>0.582178217821783</v>
      </c>
    </row>
    <row r="12" ht="17.6" spans="1:15">
      <c r="A12" s="3" t="s">
        <v>23</v>
      </c>
      <c r="B12" s="4">
        <v>2699</v>
      </c>
      <c r="C12" s="4">
        <v>1483</v>
      </c>
      <c r="D12" s="4">
        <v>2718</v>
      </c>
      <c r="E12" s="4">
        <v>1495</v>
      </c>
      <c r="F12" s="5">
        <f t="shared" si="0"/>
        <v>1.81995954146999</v>
      </c>
      <c r="G12" s="5">
        <f t="shared" si="1"/>
        <v>1.8180602006689</v>
      </c>
      <c r="H12" s="5">
        <f t="shared" si="2"/>
        <v>-0.00104470732069156</v>
      </c>
      <c r="I12" s="7">
        <f>10*((H12-H15)/(H4-H15))</f>
        <v>6.10877115416153</v>
      </c>
      <c r="J12" s="7">
        <f t="shared" si="3"/>
        <v>1.83263134624846</v>
      </c>
      <c r="K12" s="4"/>
      <c r="L12" s="3" t="s">
        <v>17</v>
      </c>
      <c r="M12" s="4">
        <v>2.03</v>
      </c>
      <c r="N12" s="6">
        <f>10*((M14-M12)/(M14-M3))</f>
        <v>0.613861386138617</v>
      </c>
      <c r="O12" s="7">
        <f t="shared" si="4"/>
        <v>0.429702970297032</v>
      </c>
    </row>
    <row r="13" ht="17.6" spans="1:15">
      <c r="A13" s="3" t="s">
        <v>26</v>
      </c>
      <c r="B13" s="4">
        <v>2077</v>
      </c>
      <c r="C13" s="4">
        <v>993</v>
      </c>
      <c r="D13" s="4">
        <v>2152</v>
      </c>
      <c r="E13" s="4">
        <v>1086</v>
      </c>
      <c r="F13" s="5">
        <f t="shared" si="0"/>
        <v>2.09164149043303</v>
      </c>
      <c r="G13" s="5">
        <f t="shared" si="1"/>
        <v>1.98158379373849</v>
      </c>
      <c r="H13" s="5">
        <f t="shared" si="2"/>
        <v>-0.0555402688709441</v>
      </c>
      <c r="I13" s="7">
        <f>10*((H13-H15)/(H4-H15))</f>
        <v>2.83986605507444</v>
      </c>
      <c r="J13" s="7">
        <f t="shared" si="3"/>
        <v>0.851959816522331</v>
      </c>
      <c r="K13" s="4"/>
      <c r="L13" s="3" t="s">
        <v>21</v>
      </c>
      <c r="M13" s="4">
        <v>2.046</v>
      </c>
      <c r="N13" s="7">
        <f>10*((M14-M13)/(M14-M3))</f>
        <v>0.455445544554458</v>
      </c>
      <c r="O13" s="7">
        <f t="shared" si="4"/>
        <v>0.318811881188121</v>
      </c>
    </row>
    <row r="14" ht="17.6" spans="1:15">
      <c r="A14" s="3" t="s">
        <v>25</v>
      </c>
      <c r="B14" s="4">
        <v>3686</v>
      </c>
      <c r="C14" s="4">
        <v>1836</v>
      </c>
      <c r="D14" s="4">
        <v>3888</v>
      </c>
      <c r="E14" s="4">
        <v>2062</v>
      </c>
      <c r="F14" s="5">
        <f t="shared" si="0"/>
        <v>2.00762527233115</v>
      </c>
      <c r="G14" s="5">
        <f t="shared" si="1"/>
        <v>1.88554801163919</v>
      </c>
      <c r="H14" s="5">
        <f t="shared" si="2"/>
        <v>-0.064743650089208</v>
      </c>
      <c r="I14" s="6">
        <f>10*((H14-H15)/(H4-H15))</f>
        <v>2.28780311751791</v>
      </c>
      <c r="J14" s="7">
        <f t="shared" si="3"/>
        <v>0.686340935255372</v>
      </c>
      <c r="K14" s="4"/>
      <c r="L14" s="3" t="s">
        <v>26</v>
      </c>
      <c r="M14" s="4">
        <v>2.092</v>
      </c>
      <c r="N14" s="7">
        <f>10*((M15-M14)/(M15-M3))</f>
        <v>0.489642184557439</v>
      </c>
      <c r="O14" s="7">
        <f t="shared" si="4"/>
        <v>0.342749529190207</v>
      </c>
    </row>
    <row r="15" ht="17.6" spans="1:15">
      <c r="A15" s="4" t="s">
        <v>27</v>
      </c>
      <c r="B15" s="4">
        <v>2030</v>
      </c>
      <c r="C15" s="4">
        <v>927</v>
      </c>
      <c r="D15" s="4">
        <v>2065</v>
      </c>
      <c r="E15" s="4">
        <v>1040</v>
      </c>
      <c r="F15" s="8">
        <f t="shared" si="0"/>
        <v>2.1898597626753</v>
      </c>
      <c r="G15" s="8">
        <f t="shared" si="1"/>
        <v>1.98557692307692</v>
      </c>
      <c r="H15" s="8">
        <f t="shared" si="2"/>
        <v>-0.102883367158503</v>
      </c>
      <c r="I15" s="6">
        <v>0</v>
      </c>
      <c r="J15" s="6">
        <f t="shared" si="3"/>
        <v>0</v>
      </c>
      <c r="K15" s="4"/>
      <c r="L15" s="3" t="s">
        <v>20</v>
      </c>
      <c r="M15" s="4">
        <v>2.144</v>
      </c>
      <c r="N15" s="4">
        <v>0</v>
      </c>
      <c r="O15" s="7">
        <f t="shared" si="4"/>
        <v>0</v>
      </c>
    </row>
    <row r="16" ht="17.6" spans="1:15">
      <c r="A16" s="3" t="s">
        <v>28</v>
      </c>
      <c r="B16" s="4"/>
      <c r="C16" s="4"/>
      <c r="D16" s="4"/>
      <c r="E16" s="4"/>
      <c r="F16" s="5"/>
      <c r="G16" s="5"/>
      <c r="H16" s="5"/>
      <c r="I16" s="7">
        <v>0</v>
      </c>
      <c r="J16" s="7">
        <v>0</v>
      </c>
      <c r="K16" s="4"/>
      <c r="L16" s="4" t="s">
        <v>27</v>
      </c>
      <c r="M16" s="4">
        <v>2.19</v>
      </c>
      <c r="N16" s="4">
        <v>0</v>
      </c>
      <c r="O16" s="4">
        <f t="shared" si="4"/>
        <v>0</v>
      </c>
    </row>
    <row r="17" ht="17.6" spans="1:15">
      <c r="A17" s="3" t="s">
        <v>29</v>
      </c>
      <c r="B17" s="4"/>
      <c r="C17" s="4"/>
      <c r="D17" s="4"/>
      <c r="E17" s="4"/>
      <c r="F17" s="5"/>
      <c r="G17" s="5"/>
      <c r="H17" s="5"/>
      <c r="I17" s="7">
        <v>0</v>
      </c>
      <c r="J17" s="7">
        <v>0</v>
      </c>
      <c r="K17" s="4"/>
      <c r="L17" s="3" t="s">
        <v>29</v>
      </c>
      <c r="M17" s="4"/>
      <c r="N17" s="7">
        <v>0</v>
      </c>
      <c r="O17" s="7"/>
    </row>
    <row r="18" ht="17.6" spans="1:15">
      <c r="A18" s="3" t="s">
        <v>30</v>
      </c>
      <c r="B18" s="4"/>
      <c r="C18" s="4"/>
      <c r="D18" s="4"/>
      <c r="E18" s="4"/>
      <c r="F18" s="4"/>
      <c r="G18" s="4"/>
      <c r="H18" s="4"/>
      <c r="I18" s="4">
        <v>0</v>
      </c>
      <c r="J18" s="4">
        <v>0</v>
      </c>
      <c r="K18" s="4"/>
      <c r="L18" s="3" t="s">
        <v>28</v>
      </c>
      <c r="M18" s="4"/>
      <c r="N18" s="6">
        <v>0</v>
      </c>
      <c r="O18" s="7"/>
    </row>
    <row r="19" ht="17.6" spans="1:15">
      <c r="A19" s="3" t="s">
        <v>31</v>
      </c>
      <c r="B19" s="4"/>
      <c r="C19" s="4"/>
      <c r="D19" s="4"/>
      <c r="E19" s="4"/>
      <c r="F19" s="4"/>
      <c r="G19" s="4"/>
      <c r="H19" s="4"/>
      <c r="I19" s="4">
        <v>0</v>
      </c>
      <c r="J19" s="4">
        <v>0</v>
      </c>
      <c r="K19" s="4"/>
      <c r="L19" s="3" t="s">
        <v>30</v>
      </c>
      <c r="M19" s="4"/>
      <c r="N19" s="4">
        <v>0</v>
      </c>
      <c r="O19" s="4">
        <v>0</v>
      </c>
    </row>
    <row r="20" ht="17.6" spans="1:15">
      <c r="A20" s="3" t="s">
        <v>32</v>
      </c>
      <c r="B20" s="4"/>
      <c r="C20" s="4"/>
      <c r="D20" s="4"/>
      <c r="E20" s="4"/>
      <c r="F20" s="5"/>
      <c r="G20" s="5"/>
      <c r="H20" s="5"/>
      <c r="I20" s="4">
        <v>0</v>
      </c>
      <c r="J20" s="9">
        <v>0</v>
      </c>
      <c r="K20" s="4"/>
      <c r="L20" s="3" t="s">
        <v>31</v>
      </c>
      <c r="M20" s="4"/>
      <c r="N20" s="4">
        <v>0</v>
      </c>
      <c r="O20" s="4">
        <v>0</v>
      </c>
    </row>
    <row r="21" ht="17.6" spans="1:15">
      <c r="A21" s="3" t="s">
        <v>18</v>
      </c>
      <c r="B21" s="4">
        <v>900</v>
      </c>
      <c r="C21" s="4">
        <v>573</v>
      </c>
      <c r="D21" s="4"/>
      <c r="E21" s="4"/>
      <c r="F21" s="5">
        <f>B21/C21</f>
        <v>1.57068062827225</v>
      </c>
      <c r="G21" s="5"/>
      <c r="H21" s="5"/>
      <c r="I21" s="7">
        <v>0</v>
      </c>
      <c r="J21" s="7">
        <v>0</v>
      </c>
      <c r="K21" s="4"/>
      <c r="L21" s="3" t="s">
        <v>32</v>
      </c>
      <c r="M21" s="4"/>
      <c r="N21" s="4">
        <v>0</v>
      </c>
      <c r="O21" s="7">
        <v>0</v>
      </c>
    </row>
    <row r="22" ht="17.6" spans="1:15">
      <c r="A22" s="3" t="s">
        <v>33</v>
      </c>
      <c r="B22" s="4"/>
      <c r="C22" s="4"/>
      <c r="D22" s="4"/>
      <c r="E22" s="4"/>
      <c r="F22" s="5"/>
      <c r="G22" s="5"/>
      <c r="H22" s="5"/>
      <c r="I22" s="7">
        <v>0</v>
      </c>
      <c r="J22" s="7">
        <v>0</v>
      </c>
      <c r="K22" s="4"/>
      <c r="L22" s="3" t="s">
        <v>33</v>
      </c>
      <c r="M22" s="4"/>
      <c r="N22" s="7">
        <v>0</v>
      </c>
      <c r="O22" s="7"/>
    </row>
    <row r="23" ht="17.6" spans="1:15">
      <c r="A23" s="3"/>
      <c r="B23" s="4"/>
      <c r="C23" s="4"/>
      <c r="D23" s="4"/>
      <c r="E23" s="4"/>
      <c r="F23" s="5"/>
      <c r="G23" s="5"/>
      <c r="H23" s="5"/>
      <c r="I23" s="7"/>
      <c r="J23" s="7"/>
      <c r="K23" s="4"/>
      <c r="L23" s="3"/>
      <c r="M23" s="4"/>
      <c r="N23" s="7"/>
      <c r="O23" s="7"/>
    </row>
    <row r="24" ht="17.6" spans="1:15">
      <c r="A24" s="3"/>
      <c r="B24" s="4"/>
      <c r="C24" s="4"/>
      <c r="D24" s="4"/>
      <c r="E24" s="4"/>
      <c r="F24" s="5"/>
      <c r="G24" s="5"/>
      <c r="H24" s="5"/>
      <c r="I24" s="7"/>
      <c r="J24" s="7"/>
      <c r="K24" s="4"/>
      <c r="L24" s="3"/>
      <c r="M24" s="4"/>
      <c r="N24" s="7"/>
      <c r="O24" s="7"/>
    </row>
    <row r="25" ht="17.6" spans="1:15">
      <c r="A25" s="3"/>
      <c r="B25" s="4"/>
      <c r="C25" s="4"/>
      <c r="D25" s="4"/>
      <c r="E25" s="4"/>
      <c r="F25" s="5"/>
      <c r="G25" s="5"/>
      <c r="H25" s="5"/>
      <c r="I25" s="7"/>
      <c r="J25" s="7"/>
      <c r="K25" s="4"/>
      <c r="L25" s="3"/>
      <c r="M25" s="4"/>
      <c r="N25" s="7"/>
      <c r="O25" s="7"/>
    </row>
    <row r="26" ht="17.6" spans="1:15">
      <c r="A26" s="3"/>
      <c r="B26" s="4"/>
      <c r="C26" s="4"/>
      <c r="D26" s="4"/>
      <c r="E26" s="4"/>
      <c r="F26" s="5"/>
      <c r="G26" s="5"/>
      <c r="H26" s="5"/>
      <c r="I26" s="7"/>
      <c r="J26" s="7"/>
      <c r="K26" s="4"/>
      <c r="L26" s="3"/>
      <c r="M26" s="4"/>
      <c r="N26" s="7"/>
      <c r="O26" s="7"/>
    </row>
    <row r="27" ht="17.6" spans="1:15">
      <c r="A27" s="3"/>
      <c r="B27" s="4"/>
      <c r="C27" s="4"/>
      <c r="D27" s="4"/>
      <c r="E27" s="4"/>
      <c r="F27" s="5"/>
      <c r="G27" s="5"/>
      <c r="H27" s="5"/>
      <c r="I27" s="4"/>
      <c r="J27" s="7"/>
      <c r="K27" s="4"/>
      <c r="L27" s="3"/>
      <c r="M27" s="4"/>
      <c r="N27" s="4"/>
      <c r="O27" s="7"/>
    </row>
    <row r="28" ht="17.6" spans="1:1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3"/>
      <c r="M28" s="4"/>
      <c r="N28" s="4"/>
      <c r="O28" s="4"/>
    </row>
    <row r="29" ht="17.6" spans="1:1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3"/>
      <c r="M29" s="4"/>
      <c r="N29" s="4"/>
      <c r="O29" s="4"/>
    </row>
    <row r="30" ht="17.6" spans="1: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ht="17.6" spans="1:15">
      <c r="A31" s="10" t="s">
        <v>34</v>
      </c>
      <c r="B31" s="10"/>
      <c r="C31" s="2" t="s">
        <v>1</v>
      </c>
      <c r="D31" s="2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ht="17.6" spans="1:15">
      <c r="A32" s="3" t="s">
        <v>2</v>
      </c>
      <c r="B32" s="4" t="s">
        <v>3</v>
      </c>
      <c r="C32" s="4" t="s">
        <v>35</v>
      </c>
      <c r="D32" s="4" t="s">
        <v>5</v>
      </c>
      <c r="E32" s="4" t="s">
        <v>36</v>
      </c>
      <c r="F32" s="4" t="s">
        <v>37</v>
      </c>
      <c r="G32" s="4" t="s">
        <v>38</v>
      </c>
      <c r="H32" s="4" t="s">
        <v>9</v>
      </c>
      <c r="I32" s="4" t="s">
        <v>10</v>
      </c>
      <c r="J32" s="4" t="s">
        <v>11</v>
      </c>
      <c r="K32" s="4"/>
      <c r="L32" s="3" t="s">
        <v>2</v>
      </c>
      <c r="M32" s="4" t="s">
        <v>37</v>
      </c>
      <c r="N32" s="4" t="s">
        <v>12</v>
      </c>
      <c r="O32" s="4" t="s">
        <v>13</v>
      </c>
    </row>
    <row r="33" ht="17.6" spans="1:15">
      <c r="A33" s="4" t="s">
        <v>17</v>
      </c>
      <c r="B33" s="4">
        <v>871</v>
      </c>
      <c r="C33" s="4">
        <v>636.64</v>
      </c>
      <c r="D33" s="4">
        <v>953</v>
      </c>
      <c r="E33" s="4">
        <v>558.27</v>
      </c>
      <c r="F33" s="8">
        <f t="shared" ref="F33:F45" si="5">B33/C33</f>
        <v>1.3681201306861</v>
      </c>
      <c r="G33" s="8">
        <f t="shared" ref="G33:G45" si="6">D33/E33</f>
        <v>1.70705930822004</v>
      </c>
      <c r="H33" s="8">
        <f t="shared" ref="H33:H45" si="7">(G33-F33)/G33</f>
        <v>0.198551494902277</v>
      </c>
      <c r="I33" s="4">
        <v>10</v>
      </c>
      <c r="J33" s="4">
        <f t="shared" ref="J33:J47" si="8">I33*0.3</f>
        <v>3</v>
      </c>
      <c r="K33" s="4"/>
      <c r="L33" s="4" t="s">
        <v>17</v>
      </c>
      <c r="M33" s="4">
        <v>1.368</v>
      </c>
      <c r="N33" s="4">
        <v>10</v>
      </c>
      <c r="O33" s="4">
        <f t="shared" ref="O33:O48" si="9">N33*0.7</f>
        <v>7</v>
      </c>
    </row>
    <row r="34" ht="17.6" spans="1:15">
      <c r="A34" s="3" t="s">
        <v>14</v>
      </c>
      <c r="B34" s="4">
        <v>3561</v>
      </c>
      <c r="C34" s="4">
        <v>1092.03</v>
      </c>
      <c r="D34" s="4">
        <v>3871</v>
      </c>
      <c r="E34" s="4">
        <v>1140.19</v>
      </c>
      <c r="F34" s="5">
        <f t="shared" si="5"/>
        <v>3.26089942583995</v>
      </c>
      <c r="G34" s="5">
        <f t="shared" si="6"/>
        <v>3.3950481937221</v>
      </c>
      <c r="H34" s="5">
        <f t="shared" si="7"/>
        <v>0.039513067334422</v>
      </c>
      <c r="I34" s="7">
        <v>10</v>
      </c>
      <c r="J34" s="7">
        <f t="shared" si="8"/>
        <v>3</v>
      </c>
      <c r="K34" s="4"/>
      <c r="L34" s="3" t="s">
        <v>19</v>
      </c>
      <c r="M34" s="4">
        <v>2.107</v>
      </c>
      <c r="N34" s="6">
        <f>10*((M45-M34)/(M45-M33))</f>
        <v>7.85983203011874</v>
      </c>
      <c r="O34" s="7">
        <f t="shared" si="9"/>
        <v>5.50188242108312</v>
      </c>
    </row>
    <row r="35" ht="17.6" spans="1:15">
      <c r="A35" s="3" t="s">
        <v>15</v>
      </c>
      <c r="B35" s="4">
        <v>2014</v>
      </c>
      <c r="C35" s="4">
        <v>701.32</v>
      </c>
      <c r="D35" s="4">
        <v>2275</v>
      </c>
      <c r="E35" s="4">
        <v>796.65</v>
      </c>
      <c r="F35" s="5">
        <f t="shared" si="5"/>
        <v>2.87172759938402</v>
      </c>
      <c r="G35" s="5">
        <f t="shared" si="6"/>
        <v>2.85570827841587</v>
      </c>
      <c r="H35" s="5">
        <f t="shared" si="7"/>
        <v>-0.00560957892275955</v>
      </c>
      <c r="I35" s="7">
        <f>10*((H35-H45)/(H34-H45))</f>
        <v>9.33840199021424</v>
      </c>
      <c r="J35" s="7">
        <f t="shared" si="8"/>
        <v>2.80152059706427</v>
      </c>
      <c r="K35" s="4"/>
      <c r="L35" s="3" t="s">
        <v>15</v>
      </c>
      <c r="M35" s="4">
        <v>2.872</v>
      </c>
      <c r="N35" s="7">
        <f>10*((M45-M35)/(M45-M33))</f>
        <v>5.64436721691283</v>
      </c>
      <c r="O35" s="7">
        <f t="shared" si="9"/>
        <v>3.95105705183898</v>
      </c>
    </row>
    <row r="36" ht="17.6" spans="1:15">
      <c r="A36" s="3" t="s">
        <v>19</v>
      </c>
      <c r="B36" s="4">
        <v>2115</v>
      </c>
      <c r="C36" s="4">
        <v>1003.79</v>
      </c>
      <c r="D36" s="4">
        <v>2180</v>
      </c>
      <c r="E36" s="4">
        <v>1056.18</v>
      </c>
      <c r="F36" s="5">
        <f t="shared" si="5"/>
        <v>2.10701441536576</v>
      </c>
      <c r="G36" s="5">
        <f t="shared" si="6"/>
        <v>2.06404211403359</v>
      </c>
      <c r="H36" s="5">
        <f t="shared" si="7"/>
        <v>-0.0208194886334921</v>
      </c>
      <c r="I36" s="7">
        <f>10*((H36-H45)/(H34-H45))</f>
        <v>9.11539100064843</v>
      </c>
      <c r="J36" s="7">
        <f t="shared" si="8"/>
        <v>2.73461730019453</v>
      </c>
      <c r="K36" s="4"/>
      <c r="L36" s="3" t="s">
        <v>14</v>
      </c>
      <c r="M36" s="4">
        <v>3.261</v>
      </c>
      <c r="N36" s="7">
        <f>10*((M45-M36)/(M45-M33))</f>
        <v>4.51781059947871</v>
      </c>
      <c r="O36" s="7">
        <f t="shared" si="9"/>
        <v>3.1624674196351</v>
      </c>
    </row>
    <row r="37" ht="17.6" spans="1:15">
      <c r="A37" s="3" t="s">
        <v>21</v>
      </c>
      <c r="B37" s="4">
        <v>5405</v>
      </c>
      <c r="C37" s="4">
        <v>1216.17</v>
      </c>
      <c r="D37" s="4">
        <v>5281</v>
      </c>
      <c r="E37" s="4">
        <v>1227.44</v>
      </c>
      <c r="F37" s="5">
        <f t="shared" si="5"/>
        <v>4.44427999375087</v>
      </c>
      <c r="G37" s="5">
        <f t="shared" si="6"/>
        <v>4.30245062895131</v>
      </c>
      <c r="H37" s="5">
        <f t="shared" si="7"/>
        <v>-0.0329647861256529</v>
      </c>
      <c r="I37" s="7">
        <f>10*((H37-H45)/(H34-H45))</f>
        <v>8.93731401900885</v>
      </c>
      <c r="J37" s="7">
        <f t="shared" si="8"/>
        <v>2.68119420570265</v>
      </c>
      <c r="K37" s="4"/>
      <c r="L37" s="4" t="s">
        <v>27</v>
      </c>
      <c r="M37" s="4">
        <v>3.284</v>
      </c>
      <c r="N37" s="6">
        <f>10*((M45-M37)/(M45-M33))</f>
        <v>4.45120185346076</v>
      </c>
      <c r="O37" s="6">
        <f t="shared" si="9"/>
        <v>3.11584129742253</v>
      </c>
    </row>
    <row r="38" ht="17.6" spans="1:15">
      <c r="A38" s="3" t="s">
        <v>20</v>
      </c>
      <c r="B38" s="4">
        <v>11024</v>
      </c>
      <c r="C38" s="4">
        <v>3221.16</v>
      </c>
      <c r="D38" s="4">
        <v>11350</v>
      </c>
      <c r="E38" s="4">
        <v>3448.68</v>
      </c>
      <c r="F38" s="5">
        <f t="shared" si="5"/>
        <v>3.42236958114468</v>
      </c>
      <c r="G38" s="5">
        <f t="shared" si="6"/>
        <v>3.29111428140622</v>
      </c>
      <c r="H38" s="5">
        <f t="shared" si="7"/>
        <v>-0.0398817204495187</v>
      </c>
      <c r="I38" s="7">
        <f>10*((H38-H45)/(H34-H45))</f>
        <v>8.83589643023522</v>
      </c>
      <c r="J38" s="7">
        <f t="shared" si="8"/>
        <v>2.65076892907057</v>
      </c>
      <c r="K38" s="4"/>
      <c r="L38" s="3" t="s">
        <v>23</v>
      </c>
      <c r="M38" s="4">
        <v>3.288</v>
      </c>
      <c r="N38" s="7">
        <f>10*((M45-M38)/(M45-M33))</f>
        <v>4.43961772371851</v>
      </c>
      <c r="O38" s="7">
        <f t="shared" si="9"/>
        <v>3.10773240660295</v>
      </c>
    </row>
    <row r="39" ht="17.6" spans="1:15">
      <c r="A39" s="4" t="s">
        <v>24</v>
      </c>
      <c r="B39" s="4">
        <v>4423</v>
      </c>
      <c r="C39" s="4">
        <v>1083.11</v>
      </c>
      <c r="D39" s="4">
        <v>4398</v>
      </c>
      <c r="E39" s="4">
        <v>1137.61</v>
      </c>
      <c r="F39" s="8">
        <f t="shared" si="5"/>
        <v>4.08361108290017</v>
      </c>
      <c r="G39" s="8">
        <f t="shared" si="6"/>
        <v>3.86599977145067</v>
      </c>
      <c r="H39" s="8">
        <f t="shared" si="7"/>
        <v>-0.0562884956839606</v>
      </c>
      <c r="I39" s="6">
        <f>10*((H39-H45)/(H34-H45))</f>
        <v>8.59533673920466</v>
      </c>
      <c r="J39" s="6">
        <f t="shared" si="8"/>
        <v>2.5786010217614</v>
      </c>
      <c r="K39" s="4"/>
      <c r="L39" s="3" t="s">
        <v>20</v>
      </c>
      <c r="M39" s="4">
        <v>3.422</v>
      </c>
      <c r="N39" s="7">
        <f>10*((M45-M39)/(M45-M33))</f>
        <v>4.05154937735303</v>
      </c>
      <c r="O39" s="7">
        <f t="shared" si="9"/>
        <v>2.83608456414712</v>
      </c>
    </row>
    <row r="40" ht="17.6" spans="1:15">
      <c r="A40" s="3" t="s">
        <v>16</v>
      </c>
      <c r="B40" s="4">
        <v>1161</v>
      </c>
      <c r="C40" s="4">
        <v>272.44</v>
      </c>
      <c r="D40" s="4">
        <v>1564</v>
      </c>
      <c r="E40" s="4">
        <v>393.18</v>
      </c>
      <c r="F40" s="5">
        <f t="shared" si="5"/>
        <v>4.26148876816914</v>
      </c>
      <c r="G40" s="5">
        <f t="shared" si="6"/>
        <v>3.97782186276006</v>
      </c>
      <c r="H40" s="5">
        <f t="shared" si="7"/>
        <v>-0.0713121188419065</v>
      </c>
      <c r="I40" s="7">
        <f>10*((H40-H45)/(H34-H45))</f>
        <v>8.37505712341226</v>
      </c>
      <c r="J40" s="7">
        <f t="shared" si="8"/>
        <v>2.51251713702368</v>
      </c>
      <c r="K40" s="4"/>
      <c r="L40" s="4" t="s">
        <v>24</v>
      </c>
      <c r="M40" s="4">
        <v>4.084</v>
      </c>
      <c r="N40" s="6">
        <f>10*((M45-M40)/(M45-M33))</f>
        <v>2.13437590501014</v>
      </c>
      <c r="O40" s="6">
        <f t="shared" si="9"/>
        <v>1.4940631335071</v>
      </c>
    </row>
    <row r="41" ht="17.6" spans="1:15">
      <c r="A41" s="3" t="s">
        <v>23</v>
      </c>
      <c r="B41" s="4">
        <v>2699</v>
      </c>
      <c r="C41" s="4">
        <v>820.94</v>
      </c>
      <c r="D41" s="4">
        <v>2718</v>
      </c>
      <c r="E41" s="4">
        <v>904.75</v>
      </c>
      <c r="F41" s="5">
        <f t="shared" si="5"/>
        <v>3.287694594002</v>
      </c>
      <c r="G41" s="5">
        <f t="shared" si="6"/>
        <v>3.00414479137883</v>
      </c>
      <c r="H41" s="5">
        <f t="shared" si="7"/>
        <v>-0.0943861971756098</v>
      </c>
      <c r="I41" s="7">
        <f>10*((H41-H45)/(H34-H45))</f>
        <v>8.03673999067563</v>
      </c>
      <c r="J41" s="7">
        <f t="shared" si="8"/>
        <v>2.41102199720269</v>
      </c>
      <c r="K41" s="4"/>
      <c r="L41" s="3" t="s">
        <v>16</v>
      </c>
      <c r="M41" s="4">
        <v>4.261</v>
      </c>
      <c r="N41" s="7">
        <f>10*((M45-M41)/(M45-M33))</f>
        <v>1.62177816391543</v>
      </c>
      <c r="O41" s="7">
        <f t="shared" si="9"/>
        <v>1.1352447147408</v>
      </c>
    </row>
    <row r="42" ht="17.6" spans="1:15">
      <c r="A42" s="3" t="s">
        <v>25</v>
      </c>
      <c r="B42" s="4">
        <v>3686</v>
      </c>
      <c r="C42" s="4">
        <v>818.17</v>
      </c>
      <c r="D42" s="4">
        <v>3888</v>
      </c>
      <c r="E42" s="4">
        <v>989.38</v>
      </c>
      <c r="F42" s="5">
        <f t="shared" si="5"/>
        <v>4.50517618587824</v>
      </c>
      <c r="G42" s="5">
        <f t="shared" si="6"/>
        <v>3.92973377266571</v>
      </c>
      <c r="H42" s="5">
        <f t="shared" si="7"/>
        <v>-0.146432925613224</v>
      </c>
      <c r="I42" s="6">
        <f>10*((H42-H45)/(H34-H45))</f>
        <v>7.27361958869555</v>
      </c>
      <c r="J42" s="7">
        <f t="shared" si="8"/>
        <v>2.18208587660866</v>
      </c>
      <c r="K42" s="4"/>
      <c r="L42" s="3" t="s">
        <v>21</v>
      </c>
      <c r="M42" s="4">
        <v>4.444</v>
      </c>
      <c r="N42" s="6">
        <f>10*((M45-M42)/(M45-M33))</f>
        <v>1.09180422820736</v>
      </c>
      <c r="O42" s="7">
        <f t="shared" si="9"/>
        <v>0.764262959745149</v>
      </c>
    </row>
    <row r="43" ht="17.6" spans="1:15">
      <c r="A43" s="4" t="s">
        <v>27</v>
      </c>
      <c r="B43" s="4">
        <v>2030</v>
      </c>
      <c r="C43" s="4">
        <v>618.11</v>
      </c>
      <c r="D43" s="4">
        <v>2065</v>
      </c>
      <c r="E43" s="4">
        <v>725.43</v>
      </c>
      <c r="F43" s="8">
        <f t="shared" si="5"/>
        <v>3.28420507676627</v>
      </c>
      <c r="G43" s="8">
        <f t="shared" si="6"/>
        <v>2.84658754118247</v>
      </c>
      <c r="H43" s="8">
        <f t="shared" si="7"/>
        <v>-0.153734086604628</v>
      </c>
      <c r="I43" s="6">
        <f>10*((H43-H45)/(H34-H45))</f>
        <v>7.16656838532625</v>
      </c>
      <c r="J43" s="6">
        <f t="shared" si="8"/>
        <v>2.14997051559788</v>
      </c>
      <c r="K43" s="4"/>
      <c r="L43" s="3" t="s">
        <v>25</v>
      </c>
      <c r="M43" s="4">
        <v>4.505</v>
      </c>
      <c r="N43" s="6">
        <f>10*((M45-M43)/(M45-M33))</f>
        <v>0.915146249637996</v>
      </c>
      <c r="O43" s="7">
        <f t="shared" si="9"/>
        <v>0.640602374746597</v>
      </c>
    </row>
    <row r="44" ht="17.6" spans="1:15">
      <c r="A44" s="4" t="s">
        <v>22</v>
      </c>
      <c r="B44" s="4">
        <v>1416</v>
      </c>
      <c r="C44" s="4">
        <v>311.76</v>
      </c>
      <c r="D44" s="4">
        <v>1460</v>
      </c>
      <c r="E44" s="4">
        <v>390.14</v>
      </c>
      <c r="F44" s="8">
        <f t="shared" si="5"/>
        <v>4.54195535026944</v>
      </c>
      <c r="G44" s="8">
        <f t="shared" si="6"/>
        <v>3.74224637309684</v>
      </c>
      <c r="H44" s="8">
        <f t="shared" si="7"/>
        <v>-0.213697575585013</v>
      </c>
      <c r="I44" s="6">
        <f>10*((H44-H45)/(H34-H45))</f>
        <v>6.28737072605955</v>
      </c>
      <c r="J44" s="6">
        <f t="shared" si="8"/>
        <v>1.88621121781787</v>
      </c>
      <c r="K44" s="4"/>
      <c r="L44" s="4" t="s">
        <v>22</v>
      </c>
      <c r="M44" s="4">
        <v>4.542</v>
      </c>
      <c r="N44" s="6">
        <f>10*((M45-M44)/(M45-M33))</f>
        <v>0.807993049522154</v>
      </c>
      <c r="O44" s="6">
        <f t="shared" si="9"/>
        <v>0.565595134665508</v>
      </c>
    </row>
    <row r="45" ht="17.6" spans="1:15">
      <c r="A45" s="4" t="s">
        <v>26</v>
      </c>
      <c r="B45" s="4">
        <v>2077</v>
      </c>
      <c r="C45" s="4">
        <v>418.04</v>
      </c>
      <c r="D45" s="4">
        <v>2152</v>
      </c>
      <c r="E45" s="4">
        <v>711.43</v>
      </c>
      <c r="F45" s="5">
        <f t="shared" si="5"/>
        <v>4.96842407425127</v>
      </c>
      <c r="G45" s="5">
        <f t="shared" si="6"/>
        <v>3.02489352431019</v>
      </c>
      <c r="H45" s="5">
        <f t="shared" si="7"/>
        <v>-0.642512053505846</v>
      </c>
      <c r="I45" s="4">
        <v>0</v>
      </c>
      <c r="J45" s="4">
        <f t="shared" si="8"/>
        <v>0</v>
      </c>
      <c r="K45" s="4"/>
      <c r="L45" s="4" t="s">
        <v>18</v>
      </c>
      <c r="M45" s="4">
        <v>4.821</v>
      </c>
      <c r="N45" s="4">
        <v>0</v>
      </c>
      <c r="O45" s="6">
        <f t="shared" si="9"/>
        <v>0</v>
      </c>
    </row>
    <row r="46" ht="17.6" spans="1:15">
      <c r="A46" s="3" t="s">
        <v>29</v>
      </c>
      <c r="B46" s="4"/>
      <c r="C46" s="4"/>
      <c r="D46" s="4"/>
      <c r="E46" s="4"/>
      <c r="F46" s="5"/>
      <c r="G46" s="5"/>
      <c r="H46" s="5"/>
      <c r="I46" s="4"/>
      <c r="J46" s="7">
        <f t="shared" si="8"/>
        <v>0</v>
      </c>
      <c r="K46" s="4"/>
      <c r="L46" s="4" t="s">
        <v>26</v>
      </c>
      <c r="M46" s="4">
        <v>4.968</v>
      </c>
      <c r="N46" s="4">
        <v>0</v>
      </c>
      <c r="O46" s="6">
        <f t="shared" si="9"/>
        <v>0</v>
      </c>
    </row>
    <row r="47" ht="17.6" spans="1:15">
      <c r="A47" s="3" t="s">
        <v>28</v>
      </c>
      <c r="B47" s="4"/>
      <c r="C47" s="4"/>
      <c r="D47" s="4"/>
      <c r="E47" s="4"/>
      <c r="F47" s="5"/>
      <c r="G47" s="5"/>
      <c r="H47" s="5"/>
      <c r="I47" s="6"/>
      <c r="J47" s="7">
        <f t="shared" si="8"/>
        <v>0</v>
      </c>
      <c r="K47" s="4"/>
      <c r="L47" s="3" t="s">
        <v>28</v>
      </c>
      <c r="M47" s="4"/>
      <c r="N47" s="7"/>
      <c r="O47" s="7">
        <f t="shared" si="9"/>
        <v>0</v>
      </c>
    </row>
    <row r="48" ht="17.6" spans="1:15">
      <c r="A48" s="3" t="s">
        <v>30</v>
      </c>
      <c r="B48" s="4"/>
      <c r="C48" s="4"/>
      <c r="D48" s="4"/>
      <c r="E48" s="4"/>
      <c r="F48" s="5"/>
      <c r="G48" s="5"/>
      <c r="H48" s="5"/>
      <c r="I48" s="4"/>
      <c r="J48" s="4">
        <v>0</v>
      </c>
      <c r="K48" s="4"/>
      <c r="L48" s="3" t="s">
        <v>29</v>
      </c>
      <c r="M48" s="4"/>
      <c r="N48" s="7"/>
      <c r="O48" s="7">
        <f t="shared" si="9"/>
        <v>0</v>
      </c>
    </row>
    <row r="49" ht="17.6" spans="1:16">
      <c r="A49" s="3" t="s">
        <v>31</v>
      </c>
      <c r="B49" s="4"/>
      <c r="C49" s="4"/>
      <c r="D49" s="4"/>
      <c r="E49" s="4"/>
      <c r="F49" s="5"/>
      <c r="G49" s="5"/>
      <c r="H49" s="5"/>
      <c r="I49" s="4"/>
      <c r="J49" s="4">
        <v>0</v>
      </c>
      <c r="K49" s="4"/>
      <c r="L49" s="3" t="s">
        <v>30</v>
      </c>
      <c r="M49" s="4"/>
      <c r="N49" s="4"/>
      <c r="O49" s="4">
        <v>0</v>
      </c>
    </row>
    <row r="50" ht="17.6" spans="1:16">
      <c r="A50" s="4" t="s">
        <v>32</v>
      </c>
      <c r="B50" s="4"/>
      <c r="C50" s="4"/>
      <c r="D50" s="4"/>
      <c r="E50" s="4"/>
      <c r="F50" s="5"/>
      <c r="G50" s="5"/>
      <c r="H50" s="5"/>
      <c r="I50" s="4"/>
      <c r="J50" s="4">
        <v>0</v>
      </c>
      <c r="K50" s="4"/>
      <c r="L50" s="3" t="s">
        <v>31</v>
      </c>
      <c r="M50" s="4"/>
      <c r="N50" s="4"/>
      <c r="O50" s="4">
        <v>0</v>
      </c>
    </row>
    <row r="51" ht="17.6" spans="1:16">
      <c r="A51" s="4" t="s">
        <v>33</v>
      </c>
      <c r="B51" s="4"/>
      <c r="C51" s="4"/>
      <c r="D51" s="4"/>
      <c r="E51" s="4"/>
      <c r="F51" s="5"/>
      <c r="G51" s="5"/>
      <c r="H51" s="5"/>
      <c r="I51" s="4"/>
      <c r="J51" s="4"/>
      <c r="K51" s="4"/>
      <c r="L51" s="4" t="s">
        <v>32</v>
      </c>
      <c r="M51" s="4"/>
      <c r="N51" s="4"/>
      <c r="O51" s="4">
        <v>0</v>
      </c>
    </row>
    <row r="52" ht="17.6" spans="1:16">
      <c r="A52" s="4" t="s">
        <v>18</v>
      </c>
      <c r="B52" s="4">
        <v>900</v>
      </c>
      <c r="C52" s="4">
        <v>186.69</v>
      </c>
      <c r="D52" s="4"/>
      <c r="E52" s="4"/>
      <c r="F52" s="5">
        <f>B52/C52</f>
        <v>4.82082596818255</v>
      </c>
      <c r="G52" s="4"/>
      <c r="H52" s="4"/>
      <c r="I52" s="4"/>
      <c r="J52" s="4"/>
      <c r="K52" s="4"/>
      <c r="L52" s="4" t="s">
        <v>33</v>
      </c>
      <c r="M52" s="4"/>
      <c r="N52" s="4"/>
      <c r="O52" s="4">
        <v>0</v>
      </c>
    </row>
    <row r="62" ht="71" customHeight="1" spans="1:16">
      <c r="A62" s="11" t="s">
        <v>39</v>
      </c>
      <c r="B62" s="1"/>
      <c r="C62" s="2" t="s">
        <v>40</v>
      </c>
      <c r="D62" s="2"/>
    </row>
    <row r="63" ht="17.6" spans="1:16">
      <c r="A63" s="3" t="s">
        <v>2</v>
      </c>
      <c r="B63" s="4" t="s">
        <v>41</v>
      </c>
      <c r="C63" s="4" t="s">
        <v>42</v>
      </c>
      <c r="D63" s="4" t="s">
        <v>43</v>
      </c>
      <c r="E63" s="4" t="s">
        <v>44</v>
      </c>
      <c r="F63" s="4" t="s">
        <v>45</v>
      </c>
      <c r="G63" s="4" t="s">
        <v>46</v>
      </c>
      <c r="H63" s="4" t="s">
        <v>47</v>
      </c>
      <c r="I63" s="4" t="s">
        <v>10</v>
      </c>
      <c r="J63" s="4" t="s">
        <v>48</v>
      </c>
      <c r="K63" s="4"/>
      <c r="L63" s="4"/>
      <c r="M63" s="3" t="s">
        <v>2</v>
      </c>
      <c r="N63" s="4" t="s">
        <v>45</v>
      </c>
      <c r="O63" s="4" t="s">
        <v>12</v>
      </c>
      <c r="P63" s="4" t="s">
        <v>49</v>
      </c>
    </row>
    <row r="64" ht="17.6" spans="1:16">
      <c r="A64" s="3" t="s">
        <v>17</v>
      </c>
      <c r="B64" s="4">
        <v>6854</v>
      </c>
      <c r="C64" s="4">
        <v>18404792</v>
      </c>
      <c r="D64" s="4">
        <v>3037</v>
      </c>
      <c r="E64" s="4">
        <v>19486459</v>
      </c>
      <c r="F64" s="12">
        <f t="shared" ref="F64:F77" si="10">B64/C64</f>
        <v>0.000372403013302188</v>
      </c>
      <c r="G64" s="12">
        <f t="shared" ref="G64:G77" si="11">D64/E64</f>
        <v>0.000155851814842296</v>
      </c>
      <c r="H64" s="8">
        <f t="shared" ref="H64:H77" si="12">(F64-G64)/G64</f>
        <v>1.38946857102059</v>
      </c>
      <c r="I64" s="4">
        <v>10</v>
      </c>
      <c r="J64" s="4">
        <f t="shared" ref="J64:J78" si="13">I64*0.3</f>
        <v>3</v>
      </c>
      <c r="K64" s="4"/>
      <c r="L64" s="4"/>
      <c r="M64" s="4" t="s">
        <v>24</v>
      </c>
      <c r="N64" s="4">
        <v>0.47844</v>
      </c>
      <c r="O64" s="4">
        <v>10</v>
      </c>
      <c r="P64" s="4">
        <f t="shared" ref="P64:P70" si="14">O64*0.7</f>
        <v>7</v>
      </c>
    </row>
    <row r="65" ht="17.6" spans="1:16">
      <c r="A65" s="3" t="s">
        <v>18</v>
      </c>
      <c r="B65" s="4">
        <v>1652208</v>
      </c>
      <c r="C65" s="4">
        <v>26469835</v>
      </c>
      <c r="D65" s="4">
        <v>1081654</v>
      </c>
      <c r="E65" s="4">
        <v>30027281</v>
      </c>
      <c r="F65" s="12">
        <f t="shared" si="10"/>
        <v>0.0624185228204105</v>
      </c>
      <c r="G65" s="13">
        <f t="shared" si="11"/>
        <v>0.0360223757855398</v>
      </c>
      <c r="H65" s="8">
        <f t="shared" si="12"/>
        <v>0.732770853094777</v>
      </c>
      <c r="I65" s="4">
        <v>10</v>
      </c>
      <c r="J65" s="4">
        <f t="shared" si="13"/>
        <v>3</v>
      </c>
      <c r="K65" s="4"/>
      <c r="L65" s="4"/>
      <c r="M65" s="4" t="s">
        <v>27</v>
      </c>
      <c r="N65" s="4">
        <v>0.06801</v>
      </c>
      <c r="O65" s="4">
        <v>10</v>
      </c>
      <c r="P65" s="4">
        <f t="shared" si="14"/>
        <v>7</v>
      </c>
    </row>
    <row r="66" ht="17.6" spans="1:16">
      <c r="A66" s="3" t="s">
        <v>26</v>
      </c>
      <c r="B66" s="4">
        <v>4174</v>
      </c>
      <c r="C66" s="4">
        <v>51917937</v>
      </c>
      <c r="D66" s="4">
        <v>2490</v>
      </c>
      <c r="E66" s="4">
        <v>52632379</v>
      </c>
      <c r="F66" s="12">
        <f t="shared" si="10"/>
        <v>8.03961066480742e-5</v>
      </c>
      <c r="G66" s="13">
        <f t="shared" si="11"/>
        <v>4.73092808516218e-5</v>
      </c>
      <c r="H66" s="8">
        <f t="shared" si="12"/>
        <v>0.699372833424042</v>
      </c>
      <c r="I66" s="6">
        <f>10*((H66-H77)/(H65-H77))</f>
        <v>9.60654189620797</v>
      </c>
      <c r="J66" s="6">
        <f t="shared" si="13"/>
        <v>2.88196256886239</v>
      </c>
      <c r="K66" s="4"/>
      <c r="L66" s="4"/>
      <c r="M66" s="4" t="s">
        <v>18</v>
      </c>
      <c r="N66" s="4">
        <v>0.06242</v>
      </c>
      <c r="O66" s="6">
        <f>10*((N66-N79)/(N65-N79))</f>
        <v>9.17782026768643</v>
      </c>
      <c r="P66" s="6">
        <f t="shared" si="14"/>
        <v>6.4244741873805</v>
      </c>
    </row>
    <row r="67" ht="17.6" spans="1:16">
      <c r="A67" s="4" t="s">
        <v>27</v>
      </c>
      <c r="B67" s="4">
        <v>43782</v>
      </c>
      <c r="C67" s="4">
        <v>643782</v>
      </c>
      <c r="D67" s="4">
        <v>27590</v>
      </c>
      <c r="E67" s="4">
        <v>627590</v>
      </c>
      <c r="F67" s="12">
        <f t="shared" si="10"/>
        <v>0.0680074932197545</v>
      </c>
      <c r="G67" s="12">
        <f t="shared" si="11"/>
        <v>0.0439618222087669</v>
      </c>
      <c r="H67" s="8">
        <f t="shared" si="12"/>
        <v>0.546967113801585</v>
      </c>
      <c r="I67" s="6">
        <f>10*((H67-H77)/(H65-H77))</f>
        <v>7.81106821121414</v>
      </c>
      <c r="J67" s="6">
        <f t="shared" si="13"/>
        <v>2.34332046336424</v>
      </c>
      <c r="K67" s="4"/>
      <c r="L67" s="4"/>
      <c r="M67" s="3" t="s">
        <v>23</v>
      </c>
      <c r="N67" s="4">
        <v>0.05332</v>
      </c>
      <c r="O67" s="6">
        <f>10*((N67-N79)/(N65-N79))</f>
        <v>7.83938814531549</v>
      </c>
      <c r="P67" s="6">
        <f t="shared" si="14"/>
        <v>5.48757170172084</v>
      </c>
    </row>
    <row r="68" ht="17.6" spans="1:16">
      <c r="A68" s="3" t="s">
        <v>20</v>
      </c>
      <c r="B68" s="4">
        <v>377164</v>
      </c>
      <c r="C68" s="4">
        <v>267429687</v>
      </c>
      <c r="D68" s="4">
        <v>269535</v>
      </c>
      <c r="E68" s="4">
        <v>267529519</v>
      </c>
      <c r="F68" s="13">
        <f t="shared" si="10"/>
        <v>0.00141032958693176</v>
      </c>
      <c r="G68" s="13">
        <f t="shared" si="11"/>
        <v>0.00100749629800665</v>
      </c>
      <c r="H68" s="8">
        <f t="shared" si="12"/>
        <v>0.399835999121905</v>
      </c>
      <c r="I68" s="6">
        <f>10*((H68-H77)/(H65-H77))</f>
        <v>6.07773402070224</v>
      </c>
      <c r="J68" s="6">
        <f t="shared" si="13"/>
        <v>1.82332020621067</v>
      </c>
      <c r="K68" s="4"/>
      <c r="L68" s="4"/>
      <c r="M68" s="3" t="s">
        <v>16</v>
      </c>
      <c r="N68" s="4">
        <v>0.03998</v>
      </c>
      <c r="O68" s="6">
        <f>10*((N68-N79)/(N65-N79))</f>
        <v>5.8773349021915</v>
      </c>
      <c r="P68" s="6">
        <f t="shared" si="14"/>
        <v>4.11413443153405</v>
      </c>
    </row>
    <row r="69" ht="17.6" spans="1:16">
      <c r="A69" s="3" t="s">
        <v>25</v>
      </c>
      <c r="B69" s="4">
        <v>571000</v>
      </c>
      <c r="C69" s="4">
        <v>94069255</v>
      </c>
      <c r="D69" s="4">
        <v>465000</v>
      </c>
      <c r="E69" s="4">
        <v>98571228</v>
      </c>
      <c r="F69" s="13">
        <f t="shared" si="10"/>
        <v>0.00606999598327849</v>
      </c>
      <c r="G69" s="12">
        <f t="shared" si="11"/>
        <v>0.00471740090323314</v>
      </c>
      <c r="H69" s="8">
        <f t="shared" si="12"/>
        <v>0.28672464091791</v>
      </c>
      <c r="I69" s="6">
        <f>10*((H69-H77)/(H65-H77))</f>
        <v>4.74518254145147</v>
      </c>
      <c r="J69" s="6">
        <f t="shared" si="13"/>
        <v>1.42355476243544</v>
      </c>
      <c r="K69" s="4"/>
      <c r="L69" s="4"/>
      <c r="M69" s="3" t="s">
        <v>25</v>
      </c>
      <c r="N69" s="4">
        <v>0.00607</v>
      </c>
      <c r="O69" s="6">
        <f>10*((N69-N79)/(N65-N79))</f>
        <v>0.889836740697161</v>
      </c>
      <c r="P69" s="6">
        <f t="shared" si="14"/>
        <v>0.622885718488013</v>
      </c>
    </row>
    <row r="70" ht="17.6" spans="1:16">
      <c r="A70" s="3" t="s">
        <v>21</v>
      </c>
      <c r="B70" s="4">
        <v>3173</v>
      </c>
      <c r="C70" s="4">
        <v>133740200</v>
      </c>
      <c r="D70" s="4">
        <v>2898</v>
      </c>
      <c r="E70" s="4">
        <v>152219213</v>
      </c>
      <c r="F70" s="13">
        <f t="shared" si="10"/>
        <v>2.37251028486573e-5</v>
      </c>
      <c r="G70" s="13">
        <f t="shared" si="11"/>
        <v>1.90383325658109e-5</v>
      </c>
      <c r="H70" s="8">
        <f t="shared" si="12"/>
        <v>0.246175460305961</v>
      </c>
      <c r="I70" s="6">
        <f>10*((H70-H77)/(H65-H77))</f>
        <v>4.26747745979725</v>
      </c>
      <c r="J70" s="6">
        <f t="shared" si="13"/>
        <v>1.28024323793917</v>
      </c>
      <c r="K70" s="4"/>
      <c r="L70" s="4"/>
      <c r="M70" s="3" t="s">
        <v>32</v>
      </c>
      <c r="N70" s="4">
        <v>0.00199</v>
      </c>
      <c r="O70" s="6">
        <f>10*((N70-N79)/(N65-N79))</f>
        <v>0.289748492425357</v>
      </c>
      <c r="P70" s="6">
        <f t="shared" si="14"/>
        <v>0.20282394469775</v>
      </c>
    </row>
    <row r="71" ht="17.6" spans="1:16">
      <c r="A71" s="3" t="s">
        <v>30</v>
      </c>
      <c r="B71" s="4">
        <v>29440</v>
      </c>
      <c r="C71" s="4">
        <v>76780107</v>
      </c>
      <c r="D71" s="4">
        <v>26460</v>
      </c>
      <c r="E71" s="4">
        <v>80161301</v>
      </c>
      <c r="F71" s="13">
        <f t="shared" si="10"/>
        <v>0.000383432651376743</v>
      </c>
      <c r="G71" s="13">
        <f t="shared" si="11"/>
        <v>0.000330084463075269</v>
      </c>
      <c r="H71" s="8">
        <f t="shared" si="12"/>
        <v>0.161619810288705</v>
      </c>
      <c r="I71" s="6">
        <f>10*((H71-H77)/(H65-H77))</f>
        <v>3.27133738776047</v>
      </c>
      <c r="J71" s="6">
        <f t="shared" si="13"/>
        <v>0.98140121632814</v>
      </c>
      <c r="K71" s="4"/>
      <c r="L71" s="4"/>
      <c r="M71" s="3" t="s">
        <v>31</v>
      </c>
      <c r="N71" s="4">
        <v>0.0016</v>
      </c>
      <c r="O71" s="6">
        <f>10*((N71-N79)/(N65-N79))</f>
        <v>0.232387115752317</v>
      </c>
      <c r="P71" s="6">
        <f t="shared" ref="P71:P79" si="15">O71*0.7</f>
        <v>0.162670981026622</v>
      </c>
    </row>
    <row r="72" ht="17.6" spans="1:16">
      <c r="A72" s="3" t="s">
        <v>16</v>
      </c>
      <c r="B72" s="4">
        <v>1534000</v>
      </c>
      <c r="C72" s="4">
        <v>38371146</v>
      </c>
      <c r="D72" s="4">
        <v>1708000</v>
      </c>
      <c r="E72" s="4">
        <v>49552639</v>
      </c>
      <c r="F72" s="13">
        <f t="shared" si="10"/>
        <v>0.0399779563529325</v>
      </c>
      <c r="G72" s="13">
        <f t="shared" si="11"/>
        <v>0.0344683963249667</v>
      </c>
      <c r="H72" s="8">
        <f t="shared" si="12"/>
        <v>0.159843816811839</v>
      </c>
      <c r="I72" s="6">
        <f>10*((H72-H77)/(H65-H77))</f>
        <v>3.25041461950522</v>
      </c>
      <c r="J72" s="6">
        <f t="shared" si="13"/>
        <v>0.975124385851566</v>
      </c>
      <c r="K72" s="4"/>
      <c r="L72" s="4"/>
      <c r="M72" s="3" t="s">
        <v>20</v>
      </c>
      <c r="N72" s="4">
        <v>0.00141</v>
      </c>
      <c r="O72" s="6">
        <f>10*((N72-N79)/(N65-N79))</f>
        <v>0.204441829680835</v>
      </c>
      <c r="P72" s="6">
        <f t="shared" si="15"/>
        <v>0.143109280776585</v>
      </c>
    </row>
    <row r="73" ht="17.6" spans="1:16">
      <c r="A73" s="3" t="s">
        <v>23</v>
      </c>
      <c r="B73" s="4">
        <v>3061000</v>
      </c>
      <c r="C73" s="4">
        <v>57405250</v>
      </c>
      <c r="D73" s="4">
        <v>3162000</v>
      </c>
      <c r="E73" s="4">
        <v>65606577</v>
      </c>
      <c r="F73" s="13">
        <f t="shared" si="10"/>
        <v>0.0533226490608437</v>
      </c>
      <c r="G73" s="13">
        <f t="shared" si="11"/>
        <v>0.0481963873835393</v>
      </c>
      <c r="H73" s="8">
        <f t="shared" si="12"/>
        <v>0.106361948593998</v>
      </c>
      <c r="I73" s="6">
        <f>10*((H73-H77)/(H65-H77))</f>
        <v>2.62035108089711</v>
      </c>
      <c r="J73" s="6">
        <f t="shared" si="13"/>
        <v>0.786105324269134</v>
      </c>
      <c r="K73" s="4"/>
      <c r="L73" s="4"/>
      <c r="M73" s="3" t="s">
        <v>14</v>
      </c>
      <c r="N73" s="4">
        <v>0.00122</v>
      </c>
      <c r="O73" s="6">
        <f>10*((N73-N79)/(N65-N79))</f>
        <v>0.176496543609354</v>
      </c>
      <c r="P73" s="6">
        <f t="shared" si="15"/>
        <v>0.123547580526548</v>
      </c>
    </row>
    <row r="74" ht="17.6" spans="1:16">
      <c r="A74" s="4" t="s">
        <v>22</v>
      </c>
      <c r="B74" s="4">
        <v>20141</v>
      </c>
      <c r="C74" s="4">
        <v>36149210</v>
      </c>
      <c r="D74" s="4">
        <v>22170</v>
      </c>
      <c r="E74" s="4">
        <v>38002231</v>
      </c>
      <c r="F74" s="12">
        <f t="shared" si="10"/>
        <v>0.000557162936617425</v>
      </c>
      <c r="G74" s="12">
        <f t="shared" si="11"/>
        <v>0.000583386801685406</v>
      </c>
      <c r="H74" s="8">
        <f t="shared" si="12"/>
        <v>-0.0449510770422301</v>
      </c>
      <c r="I74" s="6">
        <f>10*((H74-H77)/(H65-H77))</f>
        <v>0.837750293999789</v>
      </c>
      <c r="J74" s="6">
        <f t="shared" si="13"/>
        <v>0.251325088199937</v>
      </c>
      <c r="K74" s="4"/>
      <c r="L74" s="4"/>
      <c r="M74" s="4" t="s">
        <v>22</v>
      </c>
      <c r="N74" s="4">
        <v>0.00056</v>
      </c>
      <c r="O74" s="6">
        <f>10*((N74-N79)/(N65-N79))</f>
        <v>0.0794234446242094</v>
      </c>
      <c r="P74" s="6">
        <f t="shared" si="15"/>
        <v>0.0555964112369466</v>
      </c>
    </row>
    <row r="75" ht="17.6" spans="1:16">
      <c r="A75" s="4" t="s">
        <v>24</v>
      </c>
      <c r="B75" s="4">
        <v>7611000</v>
      </c>
      <c r="C75" s="4">
        <v>15908000</v>
      </c>
      <c r="D75" s="4">
        <v>7645000</v>
      </c>
      <c r="E75" s="4">
        <v>14748000</v>
      </c>
      <c r="F75" s="12">
        <f t="shared" si="10"/>
        <v>0.478438521498617</v>
      </c>
      <c r="G75" s="12">
        <f t="shared" si="11"/>
        <v>0.518375372931923</v>
      </c>
      <c r="H75" s="8">
        <f t="shared" si="12"/>
        <v>-0.0770423394294827</v>
      </c>
      <c r="I75" s="6">
        <f>10*((H75-H77)/(H65-H77))</f>
        <v>0.459686942589622</v>
      </c>
      <c r="J75" s="6">
        <f t="shared" si="13"/>
        <v>0.137906082776887</v>
      </c>
      <c r="K75" s="4"/>
      <c r="L75" s="4"/>
      <c r="M75" s="3" t="s">
        <v>30</v>
      </c>
      <c r="N75" s="4">
        <v>0.00038</v>
      </c>
      <c r="O75" s="6">
        <f>10*((N75-N79)/(N65-N79))</f>
        <v>0.0529489630828063</v>
      </c>
      <c r="P75" s="6">
        <f t="shared" si="15"/>
        <v>0.0370642741579644</v>
      </c>
    </row>
    <row r="76" ht="17.6" spans="1:16">
      <c r="A76" s="3" t="s">
        <v>19</v>
      </c>
      <c r="B76" s="4">
        <v>15570</v>
      </c>
      <c r="C76" s="4">
        <v>56228678</v>
      </c>
      <c r="D76" s="4">
        <v>15838</v>
      </c>
      <c r="E76" s="4">
        <v>52221259</v>
      </c>
      <c r="F76" s="13">
        <f t="shared" si="10"/>
        <v>0.000276904962979923</v>
      </c>
      <c r="G76" s="13">
        <f t="shared" si="11"/>
        <v>0.000303286445085516</v>
      </c>
      <c r="H76" s="8">
        <f t="shared" si="12"/>
        <v>-0.086985364934969</v>
      </c>
      <c r="I76" s="6">
        <f>10*((H76-H77)/(H65-H77))</f>
        <v>0.342549339824137</v>
      </c>
      <c r="J76" s="6">
        <f t="shared" si="13"/>
        <v>0.102764801947241</v>
      </c>
      <c r="K76" s="4"/>
      <c r="L76" s="4"/>
      <c r="M76" s="3" t="s">
        <v>17</v>
      </c>
      <c r="N76" s="4">
        <v>0.00037</v>
      </c>
      <c r="O76" s="6">
        <f>10*((N76-N79)/(N65-N79))</f>
        <v>0.0514781585527283</v>
      </c>
      <c r="P76" s="6">
        <f t="shared" si="15"/>
        <v>0.0360347109869098</v>
      </c>
    </row>
    <row r="77" ht="17.6" spans="1:16">
      <c r="A77" s="3" t="s">
        <v>14</v>
      </c>
      <c r="B77" s="4">
        <v>105387</v>
      </c>
      <c r="C77" s="4">
        <v>86280115</v>
      </c>
      <c r="D77" s="4">
        <v>115000</v>
      </c>
      <c r="E77" s="4">
        <v>83222983</v>
      </c>
      <c r="F77" s="13">
        <f t="shared" si="10"/>
        <v>0.00122145177947433</v>
      </c>
      <c r="G77" s="13">
        <f t="shared" si="11"/>
        <v>0.00138182982458103</v>
      </c>
      <c r="H77" s="8">
        <f t="shared" si="12"/>
        <v>-0.116062081056417</v>
      </c>
      <c r="I77" s="4">
        <v>0</v>
      </c>
      <c r="J77" s="4">
        <f t="shared" si="13"/>
        <v>0</v>
      </c>
      <c r="K77" s="4"/>
      <c r="L77" s="4"/>
      <c r="M77" s="3" t="s">
        <v>19</v>
      </c>
      <c r="N77" s="4">
        <v>0.00028</v>
      </c>
      <c r="O77" s="6">
        <f>10*((N77-N79)/(N65-N79))</f>
        <v>0.0382409177820268</v>
      </c>
      <c r="P77" s="6">
        <f t="shared" si="15"/>
        <v>0.0267686424474187</v>
      </c>
    </row>
    <row r="78" ht="17.6" spans="1:16">
      <c r="A78" s="3" t="s">
        <v>28</v>
      </c>
      <c r="B78" s="4"/>
      <c r="C78" s="4"/>
      <c r="D78" s="4"/>
      <c r="E78" s="4"/>
      <c r="F78" s="4"/>
      <c r="G78" s="13"/>
      <c r="H78" s="8"/>
      <c r="I78" s="4"/>
      <c r="J78" s="4">
        <f t="shared" si="13"/>
        <v>0</v>
      </c>
      <c r="K78" s="4"/>
      <c r="L78" s="4"/>
      <c r="M78" s="4" t="s">
        <v>26</v>
      </c>
      <c r="N78" s="4">
        <v>8e-5</v>
      </c>
      <c r="O78" s="6">
        <f>10*((N78-N79)/(N65-N79))</f>
        <v>0.00882482718046772</v>
      </c>
      <c r="P78" s="6">
        <f t="shared" si="15"/>
        <v>0.0061773790263274</v>
      </c>
    </row>
    <row r="79" ht="17.6" spans="1:16">
      <c r="A79" s="3" t="s">
        <v>31</v>
      </c>
      <c r="B79" s="4">
        <v>185800</v>
      </c>
      <c r="C79" s="4">
        <v>116244898</v>
      </c>
      <c r="D79" s="4"/>
      <c r="E79" s="4">
        <v>122743939</v>
      </c>
      <c r="F79" s="13">
        <f>B79/C79</f>
        <v>0.00159834971853991</v>
      </c>
      <c r="G79" s="13"/>
      <c r="H79" s="8"/>
      <c r="I79" s="4"/>
      <c r="J79" s="4"/>
      <c r="K79" s="4"/>
      <c r="L79" s="4"/>
      <c r="M79" s="3" t="s">
        <v>21</v>
      </c>
      <c r="N79" s="4">
        <v>2e-5</v>
      </c>
      <c r="O79" s="4">
        <v>0</v>
      </c>
      <c r="P79" s="4">
        <f t="shared" si="15"/>
        <v>0</v>
      </c>
    </row>
    <row r="80" ht="17.6" spans="1:16">
      <c r="A80" s="3" t="s">
        <v>29</v>
      </c>
      <c r="B80" s="4">
        <v>9666820</v>
      </c>
      <c r="C80" s="4"/>
      <c r="D80" s="4">
        <v>7463120</v>
      </c>
      <c r="E80" s="4"/>
      <c r="F80" s="4"/>
      <c r="G80" s="13"/>
      <c r="H80" s="8"/>
      <c r="I80" s="4"/>
      <c r="J80" s="4"/>
      <c r="K80" s="4"/>
      <c r="L80" s="4"/>
      <c r="M80" s="3" t="s">
        <v>28</v>
      </c>
      <c r="N80" s="4"/>
      <c r="O80" s="4"/>
      <c r="P80" s="4"/>
    </row>
    <row r="81" ht="17.6" spans="1:16">
      <c r="A81" s="3" t="s">
        <v>15</v>
      </c>
      <c r="B81" s="4"/>
      <c r="C81" s="4">
        <v>36064856</v>
      </c>
      <c r="D81" s="4"/>
      <c r="E81" s="4"/>
      <c r="F81" s="4"/>
      <c r="G81" s="13"/>
      <c r="H81" s="8"/>
      <c r="I81" s="4"/>
      <c r="J81" s="4"/>
      <c r="K81" s="4"/>
      <c r="L81" s="4"/>
      <c r="M81" s="3" t="s">
        <v>29</v>
      </c>
      <c r="N81" s="4"/>
      <c r="O81" s="4"/>
      <c r="P81" s="4"/>
    </row>
    <row r="82" ht="17.6" spans="1:16">
      <c r="A82" s="3" t="s">
        <v>32</v>
      </c>
      <c r="B82" s="4">
        <v>15081</v>
      </c>
      <c r="C82" s="4">
        <v>7582000</v>
      </c>
      <c r="D82" s="4"/>
      <c r="E82" s="4">
        <v>6953000</v>
      </c>
      <c r="F82" s="12">
        <f>B82/C82</f>
        <v>0.00198905302031126</v>
      </c>
      <c r="G82" s="13"/>
      <c r="H82" s="8"/>
      <c r="I82" s="4"/>
      <c r="J82" s="4"/>
      <c r="K82" s="4"/>
      <c r="L82" s="4"/>
      <c r="M82" s="3" t="s">
        <v>15</v>
      </c>
      <c r="N82" s="4"/>
      <c r="O82" s="4"/>
      <c r="P82" s="4"/>
    </row>
    <row r="83" ht="17.6" spans="1:16">
      <c r="A83" s="3" t="s">
        <v>33</v>
      </c>
      <c r="B83" s="4"/>
      <c r="C83" s="4"/>
      <c r="D83" s="4"/>
      <c r="E83" s="4"/>
      <c r="F83" s="12"/>
      <c r="G83" s="13"/>
      <c r="H83" s="8"/>
      <c r="I83" s="4"/>
      <c r="J83" s="4"/>
      <c r="K83" s="4"/>
      <c r="L83" s="4"/>
      <c r="M83" s="4" t="s">
        <v>33</v>
      </c>
      <c r="N83" s="4"/>
      <c r="O83" s="4"/>
      <c r="P83" s="4"/>
    </row>
    <row r="84" ht="17.6" spans="1:16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ht="17.6" spans="1:16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ht="17.6" spans="1:16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 ht="17.6" spans="1:16">
      <c r="A87" s="3"/>
      <c r="B87" s="4"/>
      <c r="C87" s="4"/>
      <c r="D87" s="4"/>
      <c r="E87" s="4"/>
      <c r="F87" s="13"/>
      <c r="G87" s="13"/>
      <c r="H87" s="4"/>
      <c r="I87" s="4"/>
      <c r="J87" s="4"/>
      <c r="K87" s="4"/>
      <c r="L87" s="4"/>
      <c r="M87" s="4"/>
      <c r="N87" s="4"/>
      <c r="O87" s="4"/>
      <c r="P87" s="4"/>
    </row>
    <row r="88" ht="17.6" spans="1:16">
      <c r="A88" s="3"/>
      <c r="B88" s="4"/>
      <c r="C88" s="4"/>
      <c r="D88" s="4"/>
      <c r="E88" s="4"/>
      <c r="F88" s="13"/>
      <c r="G88" s="13"/>
      <c r="H88" s="4"/>
      <c r="I88" s="4"/>
      <c r="J88" s="4"/>
      <c r="K88" s="4"/>
      <c r="L88" s="4"/>
      <c r="M88" s="4"/>
      <c r="N88" s="4"/>
      <c r="O88" s="4"/>
      <c r="P88" s="4"/>
    </row>
    <row r="89" ht="17.6" spans="1:1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 ht="17.6" spans="1:1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ht="17.6" spans="1:1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 ht="17.6" spans="1:1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 ht="17.6" spans="1:1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 ht="94" customHeight="1" spans="1:16">
      <c r="A94" s="14" t="s">
        <v>50</v>
      </c>
      <c r="B94" s="10"/>
      <c r="C94" s="15" t="s">
        <v>51</v>
      </c>
      <c r="D94" s="15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 ht="17.6" spans="1:16">
      <c r="A95" s="3" t="s">
        <v>2</v>
      </c>
      <c r="B95" s="4" t="s">
        <v>52</v>
      </c>
      <c r="C95" s="4" t="s">
        <v>53</v>
      </c>
      <c r="D95" s="4" t="s">
        <v>54</v>
      </c>
      <c r="E95" s="4" t="s">
        <v>44</v>
      </c>
      <c r="F95" s="4" t="s">
        <v>45</v>
      </c>
      <c r="G95" s="4" t="s">
        <v>46</v>
      </c>
      <c r="H95" s="4" t="s">
        <v>47</v>
      </c>
      <c r="I95" s="4" t="s">
        <v>10</v>
      </c>
      <c r="J95" s="4" t="s">
        <v>48</v>
      </c>
      <c r="K95" s="4"/>
      <c r="L95" s="4"/>
      <c r="M95" s="3" t="s">
        <v>2</v>
      </c>
      <c r="N95" s="4" t="s">
        <v>45</v>
      </c>
      <c r="O95" s="4" t="s">
        <v>12</v>
      </c>
      <c r="P95" s="4" t="s">
        <v>49</v>
      </c>
    </row>
    <row r="96" ht="17.6" spans="1:16">
      <c r="A96" s="4" t="s">
        <v>26</v>
      </c>
      <c r="B96" s="4">
        <v>5780</v>
      </c>
      <c r="C96" s="4">
        <v>51917937</v>
      </c>
      <c r="D96" s="4">
        <v>430</v>
      </c>
      <c r="E96" s="4">
        <v>52632379</v>
      </c>
      <c r="F96" s="13">
        <f t="shared" ref="F96:F105" si="16">B96/C96</f>
        <v>0.000111329539153299</v>
      </c>
      <c r="G96" s="12">
        <f t="shared" ref="G96:G105" si="17">D96/E96</f>
        <v>8.16987580971782e-6</v>
      </c>
      <c r="H96" s="8">
        <f t="shared" ref="H96:H105" si="18">(F96-G96)/G96</f>
        <v>12.6268337177018</v>
      </c>
      <c r="I96" s="4">
        <v>10</v>
      </c>
      <c r="J96" s="4">
        <f t="shared" ref="J96:J105" si="19">I96*0.3</f>
        <v>3</v>
      </c>
      <c r="K96" s="4"/>
      <c r="L96" s="4"/>
      <c r="M96" s="4" t="s">
        <v>27</v>
      </c>
      <c r="N96" s="4">
        <v>0.93199</v>
      </c>
      <c r="O96" s="4">
        <v>10</v>
      </c>
      <c r="P96" s="4">
        <f t="shared" ref="P96:P108" si="20">O96*0.7</f>
        <v>7</v>
      </c>
    </row>
    <row r="97" ht="17.6" spans="1:16">
      <c r="A97" s="3" t="s">
        <v>14</v>
      </c>
      <c r="B97" s="4">
        <v>302054</v>
      </c>
      <c r="C97" s="4">
        <v>86280115</v>
      </c>
      <c r="D97" s="4">
        <v>53000</v>
      </c>
      <c r="E97" s="4">
        <v>83222983</v>
      </c>
      <c r="F97" s="13">
        <f t="shared" si="16"/>
        <v>0.00350085300651257</v>
      </c>
      <c r="G97" s="13">
        <f t="shared" si="17"/>
        <v>0.000636843310459083</v>
      </c>
      <c r="H97" s="8">
        <f t="shared" si="18"/>
        <v>4.49719679710366</v>
      </c>
      <c r="I97" s="4">
        <v>10</v>
      </c>
      <c r="J97" s="4">
        <f t="shared" si="19"/>
        <v>3</v>
      </c>
      <c r="K97" s="4"/>
      <c r="L97" s="4"/>
      <c r="M97" s="4" t="s">
        <v>33</v>
      </c>
      <c r="N97" s="4">
        <v>0.11275</v>
      </c>
      <c r="O97" s="4">
        <v>10</v>
      </c>
      <c r="P97" s="4">
        <f t="shared" si="20"/>
        <v>7</v>
      </c>
    </row>
    <row r="98" ht="17.6" spans="1:16">
      <c r="A98" s="3" t="s">
        <v>20</v>
      </c>
      <c r="B98" s="4">
        <v>4577174</v>
      </c>
      <c r="C98" s="4">
        <v>267429687</v>
      </c>
      <c r="D98" s="4">
        <v>1030653</v>
      </c>
      <c r="E98" s="4">
        <v>267529519</v>
      </c>
      <c r="F98" s="13">
        <f t="shared" si="16"/>
        <v>0.0171154296718001</v>
      </c>
      <c r="G98" s="13">
        <f t="shared" si="17"/>
        <v>0.00385248328428386</v>
      </c>
      <c r="H98" s="8">
        <f t="shared" si="18"/>
        <v>3.44270056709193</v>
      </c>
      <c r="I98" s="6">
        <f>10*((H98-H105)/(H97-H105))</f>
        <v>7.66825509494817</v>
      </c>
      <c r="J98" s="6">
        <f t="shared" si="19"/>
        <v>2.30047652848445</v>
      </c>
      <c r="K98" s="4"/>
      <c r="L98" s="4"/>
      <c r="M98" s="4" t="s">
        <v>24</v>
      </c>
      <c r="N98" s="4">
        <v>0.08046</v>
      </c>
      <c r="O98" s="6">
        <f>10*((N98-N107)/(N97-N107))</f>
        <v>7.13334517045455</v>
      </c>
      <c r="P98" s="6">
        <f t="shared" si="20"/>
        <v>4.99334161931818</v>
      </c>
    </row>
    <row r="99" ht="17.6" spans="1:16">
      <c r="A99" s="3" t="s">
        <v>31</v>
      </c>
      <c r="B99" s="4">
        <v>1588000</v>
      </c>
      <c r="C99" s="4">
        <v>116244898</v>
      </c>
      <c r="D99" s="4">
        <v>790000</v>
      </c>
      <c r="E99" s="4">
        <v>124414132</v>
      </c>
      <c r="F99" s="13">
        <f t="shared" si="16"/>
        <v>0.0136608146019449</v>
      </c>
      <c r="G99" s="13">
        <f t="shared" si="17"/>
        <v>0.00634976097409899</v>
      </c>
      <c r="H99" s="8">
        <f t="shared" si="18"/>
        <v>1.15139036849861</v>
      </c>
      <c r="I99" s="6">
        <f>10*((H99-H105)/(H97-H105))</f>
        <v>2.6016168942561</v>
      </c>
      <c r="J99" s="6">
        <f t="shared" si="19"/>
        <v>0.780485068276832</v>
      </c>
      <c r="K99" s="4"/>
      <c r="L99" s="4"/>
      <c r="M99" s="4" t="s">
        <v>18</v>
      </c>
      <c r="N99" s="4">
        <v>0.06234</v>
      </c>
      <c r="O99" s="6">
        <f>10*((N99-N107)/(N97-N107))</f>
        <v>5.52468039772727</v>
      </c>
      <c r="P99" s="6">
        <f t="shared" si="20"/>
        <v>3.86727627840909</v>
      </c>
    </row>
    <row r="100" ht="17.6" spans="1:16">
      <c r="A100" s="4" t="s">
        <v>24</v>
      </c>
      <c r="B100" s="4">
        <v>1280000</v>
      </c>
      <c r="C100" s="4">
        <v>15908000</v>
      </c>
      <c r="D100" s="4">
        <v>916000</v>
      </c>
      <c r="E100" s="4">
        <v>14748000</v>
      </c>
      <c r="F100" s="12">
        <f t="shared" si="16"/>
        <v>0.0804626602967061</v>
      </c>
      <c r="G100" s="12">
        <f t="shared" si="17"/>
        <v>0.0621101166259832</v>
      </c>
      <c r="H100" s="8">
        <f t="shared" si="18"/>
        <v>0.295483967309848</v>
      </c>
      <c r="I100" s="6">
        <f>10*((H100-H105)/(H97-H105))</f>
        <v>0.709001886850215</v>
      </c>
      <c r="J100" s="6">
        <f t="shared" si="19"/>
        <v>0.212700566055065</v>
      </c>
      <c r="K100" s="4"/>
      <c r="L100" s="4"/>
      <c r="M100" s="4" t="s">
        <v>17</v>
      </c>
      <c r="N100" s="4">
        <v>0.0182</v>
      </c>
      <c r="O100" s="6">
        <f>10*((N100-N107)/(N97-N107))</f>
        <v>1.60600142045455</v>
      </c>
      <c r="P100" s="6">
        <f t="shared" si="20"/>
        <v>1.12420099431818</v>
      </c>
    </row>
    <row r="101" ht="17.6" spans="1:16">
      <c r="A101" s="3" t="s">
        <v>25</v>
      </c>
      <c r="B101" s="4">
        <v>570000</v>
      </c>
      <c r="C101" s="4">
        <v>94057700</v>
      </c>
      <c r="D101" s="4">
        <v>463000</v>
      </c>
      <c r="E101" s="4">
        <v>98571228</v>
      </c>
      <c r="F101" s="13">
        <f t="shared" si="16"/>
        <v>0.0060601099112566</v>
      </c>
      <c r="G101" s="13">
        <f t="shared" si="17"/>
        <v>0.00469711100687515</v>
      </c>
      <c r="H101" s="8">
        <f t="shared" si="18"/>
        <v>0.290178133407201</v>
      </c>
      <c r="I101" s="6">
        <f>10*((H101-H105)/(H97-H105))</f>
        <v>0.697269411363404</v>
      </c>
      <c r="J101" s="6">
        <f t="shared" si="19"/>
        <v>0.209180823409021</v>
      </c>
      <c r="K101" s="4"/>
      <c r="L101" s="4"/>
      <c r="M101" s="3" t="s">
        <v>20</v>
      </c>
      <c r="N101" s="4">
        <v>0.01712</v>
      </c>
      <c r="O101" s="6">
        <f>10*((N101-N107)/(N97-N107))</f>
        <v>1.51012073863636</v>
      </c>
      <c r="P101" s="6">
        <f t="shared" si="20"/>
        <v>1.05708451704545</v>
      </c>
    </row>
    <row r="102" ht="17.6" spans="1:16">
      <c r="A102" s="4" t="s">
        <v>17</v>
      </c>
      <c r="B102" s="4">
        <v>335042</v>
      </c>
      <c r="C102" s="4">
        <v>18404792</v>
      </c>
      <c r="D102" s="4">
        <v>297328</v>
      </c>
      <c r="E102" s="4">
        <v>19486459</v>
      </c>
      <c r="F102" s="12">
        <f t="shared" si="16"/>
        <v>0.018204063376538</v>
      </c>
      <c r="G102" s="12">
        <f t="shared" si="17"/>
        <v>0.0152581851838756</v>
      </c>
      <c r="H102" s="8">
        <f t="shared" si="18"/>
        <v>0.193068714081115</v>
      </c>
      <c r="I102" s="6">
        <f>10*((H102-H105)/(H97-H105))</f>
        <v>0.48253711806386</v>
      </c>
      <c r="J102" s="6">
        <f t="shared" si="19"/>
        <v>0.144761135419158</v>
      </c>
      <c r="K102" s="4"/>
      <c r="L102" s="4"/>
      <c r="M102" s="3" t="s">
        <v>31</v>
      </c>
      <c r="N102" s="4">
        <v>0.01366</v>
      </c>
      <c r="O102" s="6">
        <f>10*((N102-N107)/(N97-N107))</f>
        <v>1.20294744318182</v>
      </c>
      <c r="P102" s="6">
        <f t="shared" si="20"/>
        <v>0.842063210227273</v>
      </c>
    </row>
    <row r="103" ht="17.6" spans="1:16">
      <c r="A103" s="4" t="s">
        <v>33</v>
      </c>
      <c r="B103" s="4">
        <v>2435421</v>
      </c>
      <c r="C103" s="4">
        <v>21600377</v>
      </c>
      <c r="D103" s="4">
        <v>2200154</v>
      </c>
      <c r="E103" s="4">
        <v>22217465</v>
      </c>
      <c r="F103" s="12">
        <f t="shared" si="16"/>
        <v>0.112749004334508</v>
      </c>
      <c r="G103" s="12">
        <f t="shared" si="17"/>
        <v>0.0990281294468113</v>
      </c>
      <c r="H103" s="8">
        <f t="shared" si="18"/>
        <v>0.138555327302895</v>
      </c>
      <c r="I103" s="6">
        <f>10*((H103-H105)/(H97-H105))</f>
        <v>0.361994902492526</v>
      </c>
      <c r="J103" s="6">
        <f t="shared" si="19"/>
        <v>0.108598470747758</v>
      </c>
      <c r="K103" s="4"/>
      <c r="L103" s="4"/>
      <c r="M103" s="3" t="s">
        <v>25</v>
      </c>
      <c r="N103" s="4">
        <v>0.00606</v>
      </c>
      <c r="O103" s="6">
        <f>10*((N103-N107)/(N97-N107))</f>
        <v>0.528231534090909</v>
      </c>
      <c r="P103" s="6">
        <f t="shared" si="20"/>
        <v>0.369762073863636</v>
      </c>
    </row>
    <row r="104" ht="17.6" spans="1:16">
      <c r="A104" s="3" t="s">
        <v>19</v>
      </c>
      <c r="B104" s="4">
        <v>258500</v>
      </c>
      <c r="C104" s="4">
        <v>56228678</v>
      </c>
      <c r="D104" s="4">
        <v>239000</v>
      </c>
      <c r="E104" s="4">
        <v>52221259</v>
      </c>
      <c r="F104" s="13">
        <f t="shared" si="16"/>
        <v>0.00459729819719397</v>
      </c>
      <c r="G104" s="13">
        <f t="shared" si="17"/>
        <v>0.00457668016008576</v>
      </c>
      <c r="H104" s="8">
        <f t="shared" si="18"/>
        <v>0.00450502031756971</v>
      </c>
      <c r="I104" s="6">
        <f>10*((H104-H105)/(H97-H105))</f>
        <v>0.0655774175953202</v>
      </c>
      <c r="J104" s="6">
        <f t="shared" si="19"/>
        <v>0.0196732252785961</v>
      </c>
      <c r="K104" s="4"/>
      <c r="L104" s="4"/>
      <c r="M104" s="3" t="s">
        <v>19</v>
      </c>
      <c r="N104" s="4">
        <v>0.0046</v>
      </c>
      <c r="O104" s="6">
        <f>10*((N104-N107)/(N97-N107))</f>
        <v>0.398615056818182</v>
      </c>
      <c r="P104" s="6">
        <f t="shared" si="20"/>
        <v>0.279030539772727</v>
      </c>
    </row>
    <row r="105" ht="17.6" spans="1:16">
      <c r="A105" s="4" t="s">
        <v>27</v>
      </c>
      <c r="B105" s="4">
        <v>600000</v>
      </c>
      <c r="C105" s="4">
        <v>643782</v>
      </c>
      <c r="D105" s="4">
        <v>600000</v>
      </c>
      <c r="E105" s="4">
        <v>627590</v>
      </c>
      <c r="F105" s="12">
        <f t="shared" si="16"/>
        <v>0.931992506780245</v>
      </c>
      <c r="G105" s="12">
        <f t="shared" si="17"/>
        <v>0.956038177791233</v>
      </c>
      <c r="H105" s="8">
        <f t="shared" si="18"/>
        <v>-0.0251513711163096</v>
      </c>
      <c r="I105" s="4">
        <v>0</v>
      </c>
      <c r="J105" s="4">
        <f t="shared" si="19"/>
        <v>0</v>
      </c>
      <c r="K105" s="4"/>
      <c r="L105" s="4"/>
      <c r="M105" s="3" t="s">
        <v>21</v>
      </c>
      <c r="N105" s="4">
        <v>0.00439</v>
      </c>
      <c r="O105" s="6">
        <f>10*((N105-N107)/(N97-N107))</f>
        <v>0.379971590909091</v>
      </c>
      <c r="P105" s="6">
        <f t="shared" si="20"/>
        <v>0.265980113636364</v>
      </c>
    </row>
    <row r="106" ht="17.6" spans="1:16">
      <c r="A106" s="3" t="s">
        <v>16</v>
      </c>
      <c r="B106" s="4"/>
      <c r="C106" s="4">
        <v>38371146</v>
      </c>
      <c r="D106" s="4"/>
      <c r="E106" s="4"/>
      <c r="F106" s="4"/>
      <c r="G106" s="12"/>
      <c r="H106" s="8"/>
      <c r="I106" s="4"/>
      <c r="J106" s="4"/>
      <c r="K106" s="4"/>
      <c r="L106" s="4"/>
      <c r="M106" s="3" t="s">
        <v>14</v>
      </c>
      <c r="N106" s="4">
        <v>0.0035</v>
      </c>
      <c r="O106" s="6">
        <f>10*((N106-N107)/(N97-N107))</f>
        <v>0.300958806818182</v>
      </c>
      <c r="P106" s="6">
        <f t="shared" si="20"/>
        <v>0.210671164772727</v>
      </c>
    </row>
    <row r="107" ht="17.6" spans="1:16">
      <c r="A107" s="3" t="s">
        <v>21</v>
      </c>
      <c r="B107" s="4">
        <v>587676</v>
      </c>
      <c r="C107" s="4">
        <v>133740200</v>
      </c>
      <c r="D107" s="4"/>
      <c r="E107" s="4">
        <v>141554600</v>
      </c>
      <c r="F107" s="13">
        <f>B107/C107</f>
        <v>0.00439416121704618</v>
      </c>
      <c r="G107" s="12"/>
      <c r="H107" s="8"/>
      <c r="I107" s="4"/>
      <c r="J107" s="4"/>
      <c r="K107" s="4"/>
      <c r="L107" s="4"/>
      <c r="M107" s="4" t="s">
        <v>26</v>
      </c>
      <c r="N107" s="4">
        <v>0.00011</v>
      </c>
      <c r="O107" s="4">
        <v>0</v>
      </c>
      <c r="P107" s="4">
        <f t="shared" si="20"/>
        <v>0</v>
      </c>
    </row>
    <row r="108" ht="17.6" spans="1:16">
      <c r="A108" s="3" t="s">
        <v>28</v>
      </c>
      <c r="B108" s="4">
        <v>2200000</v>
      </c>
      <c r="C108" s="4"/>
      <c r="D108" s="4">
        <v>1132000</v>
      </c>
      <c r="E108" s="4"/>
      <c r="F108" s="13"/>
      <c r="G108" s="12"/>
      <c r="H108" s="8"/>
      <c r="I108" s="4"/>
      <c r="J108" s="4"/>
      <c r="K108" s="4"/>
      <c r="L108" s="4"/>
      <c r="M108" s="3" t="s">
        <v>15</v>
      </c>
      <c r="N108" s="4"/>
      <c r="O108" s="6"/>
      <c r="P108" s="6">
        <f t="shared" si="20"/>
        <v>0</v>
      </c>
    </row>
    <row r="109" ht="17.6" spans="1:16">
      <c r="A109" s="3" t="s">
        <v>23</v>
      </c>
      <c r="B109" s="4"/>
      <c r="C109" s="4">
        <v>57405250</v>
      </c>
      <c r="D109" s="4"/>
      <c r="E109" s="4">
        <v>66254138</v>
      </c>
      <c r="F109" s="13"/>
      <c r="G109" s="12"/>
      <c r="H109" s="8"/>
      <c r="I109" s="4"/>
      <c r="J109" s="4"/>
      <c r="K109" s="4"/>
      <c r="L109" s="4"/>
      <c r="M109" s="3" t="s">
        <v>16</v>
      </c>
      <c r="N109" s="4"/>
      <c r="O109" s="4"/>
      <c r="P109" s="4"/>
    </row>
    <row r="110" ht="17.6" spans="1:16">
      <c r="A110" s="3" t="s">
        <v>30</v>
      </c>
      <c r="B110" s="4"/>
      <c r="C110" s="4">
        <v>76770676</v>
      </c>
      <c r="D110" s="4"/>
      <c r="E110" s="4"/>
      <c r="F110" s="13"/>
      <c r="G110" s="12"/>
      <c r="H110" s="8"/>
      <c r="I110" s="4"/>
      <c r="J110" s="4"/>
      <c r="K110" s="4"/>
      <c r="L110" s="4"/>
      <c r="M110" s="3" t="s">
        <v>28</v>
      </c>
      <c r="N110" s="4"/>
      <c r="O110" s="4"/>
      <c r="P110" s="4"/>
    </row>
    <row r="111" ht="17.6" spans="1:16">
      <c r="A111" s="3" t="s">
        <v>29</v>
      </c>
      <c r="B111" s="4">
        <v>2900000</v>
      </c>
      <c r="C111" s="4"/>
      <c r="D111" s="4">
        <v>5350050</v>
      </c>
      <c r="E111" s="4"/>
      <c r="F111" s="13"/>
      <c r="G111" s="12"/>
      <c r="H111" s="8"/>
      <c r="I111" s="4"/>
      <c r="J111" s="4"/>
      <c r="K111" s="4"/>
      <c r="L111" s="4"/>
      <c r="M111" s="3" t="s">
        <v>23</v>
      </c>
      <c r="N111" s="4"/>
      <c r="O111" s="4"/>
      <c r="P111" s="4"/>
    </row>
    <row r="112" ht="17.6" spans="1:16">
      <c r="A112" s="3" t="s">
        <v>15</v>
      </c>
      <c r="B112" s="4"/>
      <c r="C112" s="4"/>
      <c r="D112" s="4"/>
      <c r="E112" s="4"/>
      <c r="F112" s="13"/>
      <c r="G112" s="12"/>
      <c r="H112" s="8"/>
      <c r="I112" s="4"/>
      <c r="J112" s="4"/>
      <c r="K112" s="4"/>
      <c r="L112" s="4"/>
      <c r="M112" s="3" t="s">
        <v>30</v>
      </c>
      <c r="N112" s="4"/>
      <c r="O112" s="4"/>
      <c r="P112" s="4"/>
    </row>
    <row r="113" ht="17.6" spans="1:16">
      <c r="A113" s="4" t="s">
        <v>22</v>
      </c>
      <c r="B113" s="4"/>
      <c r="C113" s="4"/>
      <c r="D113" s="4"/>
      <c r="E113" s="4"/>
      <c r="F113" s="13"/>
      <c r="G113" s="12"/>
      <c r="H113" s="8"/>
      <c r="I113" s="4"/>
      <c r="J113" s="4"/>
      <c r="K113" s="4"/>
      <c r="L113" s="4"/>
      <c r="M113" s="3" t="s">
        <v>29</v>
      </c>
      <c r="N113" s="4"/>
      <c r="O113" s="4"/>
      <c r="P113" s="4"/>
    </row>
    <row r="114" ht="17.6" spans="1:16">
      <c r="A114" s="4" t="s">
        <v>32</v>
      </c>
      <c r="B114" s="4"/>
      <c r="C114" s="4"/>
      <c r="D114" s="4"/>
      <c r="E114" s="4"/>
      <c r="F114" s="13"/>
      <c r="G114" s="12"/>
      <c r="H114" s="8"/>
      <c r="I114" s="4"/>
      <c r="J114" s="4"/>
      <c r="K114" s="4"/>
      <c r="L114" s="4"/>
      <c r="M114" s="4" t="s">
        <v>22</v>
      </c>
      <c r="N114" s="4"/>
      <c r="O114" s="4"/>
      <c r="P114" s="4"/>
    </row>
    <row r="115" ht="17.6" spans="1:16">
      <c r="A115" s="4" t="s">
        <v>18</v>
      </c>
      <c r="B115" s="4">
        <v>1650000</v>
      </c>
      <c r="C115" s="4">
        <v>26469835</v>
      </c>
      <c r="D115" s="4"/>
      <c r="E115" s="4"/>
      <c r="F115" s="13">
        <f>B115/C115</f>
        <v>0.0623351071134369</v>
      </c>
      <c r="G115" s="4"/>
      <c r="H115" s="4"/>
      <c r="I115" s="4"/>
      <c r="J115" s="4"/>
      <c r="K115" s="4"/>
      <c r="L115" s="4"/>
      <c r="M115" s="4" t="s">
        <v>32</v>
      </c>
      <c r="N115" s="4"/>
      <c r="O115" s="4"/>
      <c r="P115" s="4"/>
    </row>
    <row r="126" spans="1:16">
      <c r="A126" s="1" t="s">
        <v>55</v>
      </c>
      <c r="B126" s="1"/>
      <c r="C126" s="1"/>
      <c r="D126" s="1"/>
      <c r="E126" s="2" t="s">
        <v>56</v>
      </c>
      <c r="F126" s="2"/>
    </row>
    <row r="127" ht="17.6" spans="1:16">
      <c r="A127" s="16" t="s">
        <v>2</v>
      </c>
      <c r="B127" s="4" t="s">
        <v>57</v>
      </c>
      <c r="C127" s="4" t="s">
        <v>58</v>
      </c>
      <c r="D127" s="4" t="s">
        <v>59</v>
      </c>
      <c r="E127" s="4" t="s">
        <v>6</v>
      </c>
      <c r="F127" s="4" t="s">
        <v>60</v>
      </c>
      <c r="G127" s="4" t="s">
        <v>61</v>
      </c>
      <c r="H127" s="4" t="s">
        <v>9</v>
      </c>
      <c r="I127" s="4" t="s">
        <v>10</v>
      </c>
      <c r="J127" s="4" t="s">
        <v>11</v>
      </c>
      <c r="K127" s="4"/>
      <c r="L127" s="16" t="s">
        <v>2</v>
      </c>
      <c r="M127" s="4" t="s">
        <v>62</v>
      </c>
      <c r="N127" s="4" t="s">
        <v>12</v>
      </c>
      <c r="O127" s="4" t="s">
        <v>13</v>
      </c>
    </row>
    <row r="128" ht="17.6" spans="1:16">
      <c r="A128" s="4" t="s">
        <v>33</v>
      </c>
      <c r="B128" s="4"/>
      <c r="C128" s="4"/>
      <c r="D128" s="4"/>
      <c r="E128" s="4"/>
      <c r="F128" s="4">
        <v>0.19</v>
      </c>
      <c r="G128" s="4">
        <v>0.5</v>
      </c>
      <c r="H128" s="4">
        <f t="shared" ref="H128:H144" si="21">(G128-F128)/G128</f>
        <v>0.62</v>
      </c>
      <c r="I128" s="4">
        <v>10</v>
      </c>
      <c r="J128" s="4">
        <f t="shared" ref="J128:J144" si="22">I128*0.3</f>
        <v>3</v>
      </c>
      <c r="K128" s="4"/>
      <c r="L128" s="4" t="s">
        <v>33</v>
      </c>
      <c r="M128" s="4">
        <v>0.19</v>
      </c>
      <c r="N128" s="4">
        <v>10</v>
      </c>
      <c r="O128" s="4">
        <f t="shared" ref="O128:O146" si="23">N128*0.7</f>
        <v>7</v>
      </c>
    </row>
    <row r="129" ht="17.6" spans="1:15">
      <c r="A129" s="16" t="s">
        <v>19</v>
      </c>
      <c r="B129" s="4"/>
      <c r="C129" s="4"/>
      <c r="D129" s="4"/>
      <c r="E129" s="4"/>
      <c r="F129" s="4">
        <v>1.39</v>
      </c>
      <c r="G129" s="4">
        <v>1.8</v>
      </c>
      <c r="H129" s="5">
        <f t="shared" si="21"/>
        <v>0.227777777777778</v>
      </c>
      <c r="I129" s="6">
        <v>10</v>
      </c>
      <c r="J129" s="7">
        <f t="shared" si="22"/>
        <v>3</v>
      </c>
      <c r="K129" s="4"/>
      <c r="L129" s="16" t="s">
        <v>15</v>
      </c>
      <c r="M129" s="4">
        <v>1.15</v>
      </c>
      <c r="N129" s="6">
        <f>10*((M145-M129)/(M145-M128))</f>
        <v>7.20116618075802</v>
      </c>
      <c r="O129" s="7">
        <f t="shared" si="23"/>
        <v>5.04081632653061</v>
      </c>
    </row>
    <row r="130" ht="17.6" spans="1:15">
      <c r="A130" s="4" t="s">
        <v>27</v>
      </c>
      <c r="B130" s="4"/>
      <c r="C130" s="4"/>
      <c r="D130" s="4"/>
      <c r="E130" s="4"/>
      <c r="F130" s="4">
        <v>2.3</v>
      </c>
      <c r="G130" s="4">
        <v>2.57</v>
      </c>
      <c r="H130" s="8">
        <f t="shared" si="21"/>
        <v>0.105058365758755</v>
      </c>
      <c r="I130" s="6">
        <f>10*((H130-H144)/(H129-H144))</f>
        <v>7.86100161202122</v>
      </c>
      <c r="J130" s="6">
        <f t="shared" si="22"/>
        <v>2.35830048360636</v>
      </c>
      <c r="K130" s="4"/>
      <c r="L130" s="16" t="s">
        <v>19</v>
      </c>
      <c r="M130" s="4">
        <v>1.3</v>
      </c>
      <c r="N130" s="7">
        <f>10*((M145-M130)/(M145-M128))</f>
        <v>6.76384839650146</v>
      </c>
      <c r="O130" s="7">
        <f t="shared" si="23"/>
        <v>4.73469387755102</v>
      </c>
    </row>
    <row r="131" ht="17.6" spans="1:15">
      <c r="A131" s="16" t="s">
        <v>30</v>
      </c>
      <c r="B131" s="4"/>
      <c r="C131" s="4"/>
      <c r="D131" s="4"/>
      <c r="E131" s="4"/>
      <c r="F131" s="4">
        <v>3.87</v>
      </c>
      <c r="G131" s="4">
        <v>4.3</v>
      </c>
      <c r="H131" s="5">
        <f t="shared" si="21"/>
        <v>0.0999999999999999</v>
      </c>
      <c r="I131" s="7">
        <f>10*((H131-H144)/(H129-H144))</f>
        <v>7.77283433656111</v>
      </c>
      <c r="J131" s="7">
        <f t="shared" si="22"/>
        <v>2.33185030096833</v>
      </c>
      <c r="K131" s="4"/>
      <c r="L131" s="4" t="s">
        <v>17</v>
      </c>
      <c r="M131" s="4">
        <v>1.49</v>
      </c>
      <c r="N131" s="6">
        <f>10*((M145-M131)/(M145-M128))</f>
        <v>6.20991253644315</v>
      </c>
      <c r="O131" s="6">
        <f t="shared" si="23"/>
        <v>4.3469387755102</v>
      </c>
    </row>
    <row r="132" ht="17.6" spans="1:15">
      <c r="A132" s="4" t="s">
        <v>18</v>
      </c>
      <c r="B132" s="4"/>
      <c r="C132" s="4"/>
      <c r="D132" s="4"/>
      <c r="E132" s="4"/>
      <c r="F132" s="4">
        <v>3.17</v>
      </c>
      <c r="G132" s="4">
        <v>3.51</v>
      </c>
      <c r="H132" s="5">
        <f t="shared" si="21"/>
        <v>0.0968660968660968</v>
      </c>
      <c r="I132" s="6">
        <f>10*((H132-H144)/(H129-H144))</f>
        <v>7.71821042954254</v>
      </c>
      <c r="J132" s="7">
        <f t="shared" si="22"/>
        <v>2.31546312886276</v>
      </c>
      <c r="K132" s="4"/>
      <c r="L132" s="4" t="s">
        <v>22</v>
      </c>
      <c r="M132" s="4">
        <v>1.57</v>
      </c>
      <c r="N132" s="6">
        <f>10*((M145-M132)/(M145-M128))</f>
        <v>5.97667638483965</v>
      </c>
      <c r="O132" s="6">
        <f t="shared" si="23"/>
        <v>4.18367346938775</v>
      </c>
    </row>
    <row r="133" ht="17.6" spans="1:15">
      <c r="A133" s="16" t="s">
        <v>23</v>
      </c>
      <c r="B133" s="4"/>
      <c r="C133" s="4"/>
      <c r="D133" s="4"/>
      <c r="E133" s="4"/>
      <c r="F133" s="4">
        <v>2.13</v>
      </c>
      <c r="G133" s="4">
        <v>2.34</v>
      </c>
      <c r="H133" s="5">
        <f t="shared" si="21"/>
        <v>0.0897435897435897</v>
      </c>
      <c r="I133" s="7">
        <f>10*((H133-H144)/(H129-H144))</f>
        <v>7.59406518631852</v>
      </c>
      <c r="J133" s="7">
        <f t="shared" si="22"/>
        <v>2.27821955589556</v>
      </c>
      <c r="K133" s="4"/>
      <c r="L133" s="16" t="s">
        <v>25</v>
      </c>
      <c r="M133" s="4">
        <v>1.87</v>
      </c>
      <c r="N133" s="7">
        <f>10*((M145-M133)/(M145-M128))</f>
        <v>5.10204081632653</v>
      </c>
      <c r="O133" s="7">
        <f t="shared" si="23"/>
        <v>3.57142857142857</v>
      </c>
    </row>
    <row r="134" ht="17.6" spans="1:15">
      <c r="A134" s="4" t="s">
        <v>26</v>
      </c>
      <c r="B134" s="4"/>
      <c r="C134" s="4"/>
      <c r="D134" s="4"/>
      <c r="E134" s="4"/>
      <c r="F134" s="4">
        <v>3.5</v>
      </c>
      <c r="G134" s="4">
        <v>3.8</v>
      </c>
      <c r="H134" s="5">
        <f t="shared" si="21"/>
        <v>0.0789473684210526</v>
      </c>
      <c r="I134" s="6">
        <f>10*((H134-H144)/(H129-H144))</f>
        <v>7.40588713343159</v>
      </c>
      <c r="J134" s="7">
        <f t="shared" si="22"/>
        <v>2.22176614002948</v>
      </c>
      <c r="K134" s="4"/>
      <c r="L134" s="16" t="s">
        <v>23</v>
      </c>
      <c r="M134" s="4">
        <v>2.13</v>
      </c>
      <c r="N134" s="7">
        <f>10*((M145-M134)/(M145-M128))</f>
        <v>4.34402332361516</v>
      </c>
      <c r="O134" s="7">
        <f t="shared" si="23"/>
        <v>3.04081632653061</v>
      </c>
    </row>
    <row r="135" ht="17.6" spans="1:15">
      <c r="A135" s="4" t="s">
        <v>24</v>
      </c>
      <c r="B135" s="4">
        <v>64922200</v>
      </c>
      <c r="C135" s="4">
        <v>23297600</v>
      </c>
      <c r="D135" s="4">
        <v>68786500</v>
      </c>
      <c r="E135" s="4">
        <v>23180000</v>
      </c>
      <c r="F135" s="6">
        <f>B135/C135</f>
        <v>2.78664755167914</v>
      </c>
      <c r="G135" s="6">
        <f>D135/E135</f>
        <v>2.96749352890423</v>
      </c>
      <c r="H135" s="8">
        <f t="shared" si="21"/>
        <v>0.0609423324646182</v>
      </c>
      <c r="I135" s="6">
        <f>10*((H135-H144)/(H129-H144))</f>
        <v>7.09205949807474</v>
      </c>
      <c r="J135" s="6">
        <f t="shared" si="22"/>
        <v>2.12761784942242</v>
      </c>
      <c r="K135" s="4"/>
      <c r="L135" s="16" t="s">
        <v>28</v>
      </c>
      <c r="M135" s="4">
        <v>2.28</v>
      </c>
      <c r="N135" s="7">
        <f>10*((M145-M135)/(M145-M128))</f>
        <v>3.9067055393586</v>
      </c>
      <c r="O135" s="7">
        <f t="shared" si="23"/>
        <v>2.73469387755102</v>
      </c>
    </row>
    <row r="136" ht="17.6" spans="1:15">
      <c r="A136" s="16" t="s">
        <v>20</v>
      </c>
      <c r="B136" s="4"/>
      <c r="C136" s="4"/>
      <c r="D136" s="4"/>
      <c r="E136" s="4"/>
      <c r="F136" s="4">
        <v>2.36</v>
      </c>
      <c r="G136" s="4">
        <v>2.5</v>
      </c>
      <c r="H136" s="5">
        <f t="shared" si="21"/>
        <v>0.056</v>
      </c>
      <c r="I136" s="7">
        <f>10*((H136-H144)/(H129-H144))</f>
        <v>7.00591468202041</v>
      </c>
      <c r="J136" s="7">
        <f t="shared" si="22"/>
        <v>2.10177440460612</v>
      </c>
      <c r="K136" s="4"/>
      <c r="L136" s="4" t="s">
        <v>27</v>
      </c>
      <c r="M136" s="4">
        <v>2.3</v>
      </c>
      <c r="N136" s="6">
        <f>10*((M145-M136)/(M145-M128))</f>
        <v>3.84839650145773</v>
      </c>
      <c r="O136" s="6">
        <f t="shared" si="23"/>
        <v>2.69387755102041</v>
      </c>
    </row>
    <row r="137" ht="17.6" spans="1:15">
      <c r="A137" s="16" t="s">
        <v>21</v>
      </c>
      <c r="B137" s="4"/>
      <c r="C137" s="4"/>
      <c r="D137" s="4"/>
      <c r="E137" s="4"/>
      <c r="F137" s="4">
        <v>2.33</v>
      </c>
      <c r="G137" s="4">
        <v>2.39</v>
      </c>
      <c r="H137" s="5">
        <f t="shared" si="21"/>
        <v>0.0251046025104603</v>
      </c>
      <c r="I137" s="7">
        <f>10*((H137-H144)/(H129-H144))</f>
        <v>6.46740814634825</v>
      </c>
      <c r="J137" s="7">
        <f t="shared" si="22"/>
        <v>1.94022244390447</v>
      </c>
      <c r="K137" s="4"/>
      <c r="L137" s="16" t="s">
        <v>21</v>
      </c>
      <c r="M137" s="4">
        <v>2.33</v>
      </c>
      <c r="N137" s="7">
        <f>10*((M145-M137)/(M145-M128))</f>
        <v>3.76093294460641</v>
      </c>
      <c r="O137" s="7">
        <f t="shared" si="23"/>
        <v>2.63265306122449</v>
      </c>
    </row>
    <row r="138" ht="17.6" spans="1:15">
      <c r="A138" s="16" t="s">
        <v>25</v>
      </c>
      <c r="B138" s="4"/>
      <c r="C138" s="4"/>
      <c r="D138" s="4"/>
      <c r="E138" s="4"/>
      <c r="F138" s="4">
        <v>1.87</v>
      </c>
      <c r="G138" s="4">
        <v>1.9</v>
      </c>
      <c r="H138" s="5">
        <f t="shared" si="21"/>
        <v>0.0157894736842104</v>
      </c>
      <c r="I138" s="7">
        <f>10*((H138-H144)/(H129-H144))</f>
        <v>6.30504552404303</v>
      </c>
      <c r="J138" s="7">
        <f t="shared" si="22"/>
        <v>1.89151365721291</v>
      </c>
      <c r="K138" s="4"/>
      <c r="L138" s="4" t="s">
        <v>32</v>
      </c>
      <c r="M138" s="4">
        <v>2.33</v>
      </c>
      <c r="N138" s="6">
        <f>10*((M145-M138)/(M145-M128))</f>
        <v>3.76093294460641</v>
      </c>
      <c r="O138" s="6">
        <f t="shared" si="23"/>
        <v>2.63265306122449</v>
      </c>
    </row>
    <row r="139" ht="17.6" spans="1:15">
      <c r="A139" s="16" t="s">
        <v>28</v>
      </c>
      <c r="B139" s="4"/>
      <c r="C139" s="4"/>
      <c r="D139" s="4"/>
      <c r="E139" s="4"/>
      <c r="F139" s="4">
        <v>2.28</v>
      </c>
      <c r="G139" s="4">
        <v>2.3</v>
      </c>
      <c r="H139" s="5">
        <f t="shared" si="21"/>
        <v>0.00869565217391305</v>
      </c>
      <c r="I139" s="7">
        <f>10*((H139-H144)/(H129-H144))</f>
        <v>6.18140027081461</v>
      </c>
      <c r="J139" s="7">
        <f t="shared" si="22"/>
        <v>1.85442008124438</v>
      </c>
      <c r="K139" s="4"/>
      <c r="L139" s="16" t="s">
        <v>20</v>
      </c>
      <c r="M139" s="4">
        <v>2.36</v>
      </c>
      <c r="N139" s="7">
        <f>10*((M145-M139)/(M145-M128))</f>
        <v>3.6734693877551</v>
      </c>
      <c r="O139" s="7">
        <f t="shared" si="23"/>
        <v>2.57142857142857</v>
      </c>
    </row>
    <row r="140" ht="17.6" spans="1:15">
      <c r="A140" s="4" t="s">
        <v>63</v>
      </c>
      <c r="B140" s="4"/>
      <c r="C140" s="4"/>
      <c r="D140" s="4"/>
      <c r="E140" s="4"/>
      <c r="F140" s="4">
        <v>2.33</v>
      </c>
      <c r="G140" s="4">
        <v>2.35</v>
      </c>
      <c r="H140" s="8">
        <f t="shared" si="21"/>
        <v>0.00851063829787235</v>
      </c>
      <c r="I140" s="6">
        <f>10*((H140-H144)/(H129-H144))</f>
        <v>6.17817548040783</v>
      </c>
      <c r="J140" s="6">
        <f t="shared" si="22"/>
        <v>1.85345264412235</v>
      </c>
      <c r="K140" s="4"/>
      <c r="L140" s="16" t="s">
        <v>14</v>
      </c>
      <c r="M140" s="4">
        <v>2.49</v>
      </c>
      <c r="N140" s="7">
        <f>10*((M145-M140)/(M145-M128))</f>
        <v>3.29446064139942</v>
      </c>
      <c r="O140" s="7">
        <f t="shared" si="23"/>
        <v>2.30612244897959</v>
      </c>
    </row>
    <row r="141" ht="17.6" spans="1:15">
      <c r="A141" s="16" t="s">
        <v>16</v>
      </c>
      <c r="B141" s="4"/>
      <c r="C141" s="4"/>
      <c r="D141" s="4"/>
      <c r="E141" s="4"/>
      <c r="F141" s="4">
        <v>2.74</v>
      </c>
      <c r="G141" s="4">
        <v>2.66</v>
      </c>
      <c r="H141" s="5">
        <f t="shared" si="21"/>
        <v>-0.0300751879699248</v>
      </c>
      <c r="I141" s="7">
        <f>10*((H141-H144)/(H129-H144))</f>
        <v>5.50562483151086</v>
      </c>
      <c r="J141" s="7">
        <f t="shared" si="22"/>
        <v>1.65168744945326</v>
      </c>
      <c r="K141" s="4"/>
      <c r="L141" s="16" t="s">
        <v>16</v>
      </c>
      <c r="M141" s="4">
        <v>2.74</v>
      </c>
      <c r="N141" s="7">
        <f>10*((M145-M141)/(M145-M128))</f>
        <v>2.56559766763848</v>
      </c>
      <c r="O141" s="7">
        <f t="shared" si="23"/>
        <v>1.79591836734694</v>
      </c>
    </row>
    <row r="142" ht="17.6" spans="1:15">
      <c r="A142" s="4" t="s">
        <v>22</v>
      </c>
      <c r="B142" s="4"/>
      <c r="C142" s="4"/>
      <c r="D142" s="4"/>
      <c r="E142" s="4"/>
      <c r="F142" s="4">
        <v>1.57</v>
      </c>
      <c r="G142" s="4">
        <v>1.48</v>
      </c>
      <c r="H142" s="8">
        <f t="shared" si="21"/>
        <v>-0.0608108108108109</v>
      </c>
      <c r="I142" s="6">
        <f>10*((H142-H144)/(H129-H144))</f>
        <v>4.96990316671029</v>
      </c>
      <c r="J142" s="6">
        <f t="shared" si="22"/>
        <v>1.49097095001309</v>
      </c>
      <c r="K142" s="4"/>
      <c r="L142" s="4" t="s">
        <v>24</v>
      </c>
      <c r="M142" s="4">
        <v>2.79</v>
      </c>
      <c r="N142" s="6">
        <f>10*((M145-M142)/(M145-M128))</f>
        <v>2.4198250728863</v>
      </c>
      <c r="O142" s="6">
        <f t="shared" si="23"/>
        <v>1.69387755102041</v>
      </c>
    </row>
    <row r="143" ht="17.6" spans="1:15">
      <c r="A143" s="16" t="s">
        <v>29</v>
      </c>
      <c r="B143" s="4">
        <v>91150352</v>
      </c>
      <c r="C143" s="4">
        <v>25150000</v>
      </c>
      <c r="D143" s="4">
        <v>95337685</v>
      </c>
      <c r="E143" s="4">
        <v>25940000</v>
      </c>
      <c r="F143" s="7">
        <v>3.62</v>
      </c>
      <c r="G143" s="7">
        <v>3.25</v>
      </c>
      <c r="H143" s="5">
        <f t="shared" si="21"/>
        <v>-0.113846153846154</v>
      </c>
      <c r="I143" s="6">
        <f>10*((H143-H144)/(H129-H144))</f>
        <v>4.04549755400318</v>
      </c>
      <c r="J143" s="7">
        <f t="shared" si="22"/>
        <v>1.21364926620095</v>
      </c>
      <c r="K143" s="4"/>
      <c r="L143" s="4" t="s">
        <v>18</v>
      </c>
      <c r="M143" s="4">
        <v>3.17</v>
      </c>
      <c r="N143" s="6">
        <f>10*((M145-M143)/(M145-M128))</f>
        <v>1.31195335276968</v>
      </c>
      <c r="O143" s="6">
        <f t="shared" si="23"/>
        <v>0.918367346938776</v>
      </c>
    </row>
    <row r="144" ht="17.6" spans="1:15">
      <c r="A144" s="16" t="s">
        <v>14</v>
      </c>
      <c r="B144" s="4">
        <v>50146778</v>
      </c>
      <c r="C144" s="4">
        <v>20162200</v>
      </c>
      <c r="D144" s="4"/>
      <c r="E144" s="4"/>
      <c r="F144" s="7">
        <v>2.49</v>
      </c>
      <c r="G144" s="4">
        <v>1.85</v>
      </c>
      <c r="H144" s="5">
        <f t="shared" si="21"/>
        <v>-0.345945945945946</v>
      </c>
      <c r="I144" s="7">
        <v>0</v>
      </c>
      <c r="J144" s="7">
        <f t="shared" si="22"/>
        <v>0</v>
      </c>
      <c r="K144" s="4"/>
      <c r="L144" s="4" t="s">
        <v>26</v>
      </c>
      <c r="M144" s="4">
        <v>3.5</v>
      </c>
      <c r="N144" s="6">
        <f>10*((M145-M144)/(M145-M128))</f>
        <v>0.349854227405248</v>
      </c>
      <c r="O144" s="6">
        <f t="shared" si="23"/>
        <v>0.244897959183674</v>
      </c>
    </row>
    <row r="145" ht="17.6" spans="1:15">
      <c r="A145" s="4" t="s">
        <v>17</v>
      </c>
      <c r="B145" s="4">
        <v>6386660</v>
      </c>
      <c r="C145" s="4">
        <v>4290788</v>
      </c>
      <c r="D145" s="4"/>
      <c r="E145" s="4"/>
      <c r="F145" s="6">
        <f>B145/C145</f>
        <v>1.48845853022801</v>
      </c>
      <c r="G145" s="4"/>
      <c r="H145" s="8"/>
      <c r="I145" s="4"/>
      <c r="J145" s="4">
        <v>0</v>
      </c>
      <c r="K145" s="4"/>
      <c r="L145" s="16" t="s">
        <v>29</v>
      </c>
      <c r="M145" s="4">
        <v>3.62</v>
      </c>
      <c r="N145" s="4">
        <v>0</v>
      </c>
      <c r="O145" s="7">
        <f t="shared" si="23"/>
        <v>0</v>
      </c>
    </row>
    <row r="146" ht="17.6" spans="1:15">
      <c r="A146" s="16" t="s">
        <v>15</v>
      </c>
      <c r="B146" s="4"/>
      <c r="C146" s="4"/>
      <c r="D146" s="4"/>
      <c r="E146" s="4"/>
      <c r="F146" s="4">
        <v>1.15</v>
      </c>
      <c r="G146" s="4"/>
      <c r="H146" s="5"/>
      <c r="I146" s="6"/>
      <c r="J146" s="7">
        <v>0</v>
      </c>
      <c r="K146" s="4"/>
      <c r="L146" s="16" t="s">
        <v>30</v>
      </c>
      <c r="M146" s="4">
        <v>3.87</v>
      </c>
      <c r="N146" s="4">
        <v>0</v>
      </c>
      <c r="O146" s="7">
        <f t="shared" si="23"/>
        <v>0</v>
      </c>
    </row>
    <row r="147" ht="17.6" spans="1:15">
      <c r="A147" s="16" t="s">
        <v>31</v>
      </c>
      <c r="B147" s="4"/>
      <c r="C147" s="4"/>
      <c r="D147" s="4"/>
      <c r="E147" s="4"/>
      <c r="F147" s="4"/>
      <c r="G147" s="4"/>
      <c r="H147" s="5"/>
      <c r="I147" s="7"/>
      <c r="J147" s="7">
        <v>0</v>
      </c>
      <c r="K147" s="4"/>
      <c r="L147" s="16" t="s">
        <v>31</v>
      </c>
      <c r="M147" s="4"/>
      <c r="N147" s="7"/>
      <c r="O147" s="7">
        <v>0</v>
      </c>
    </row>
    <row r="155" spans="1:15">
      <c r="A155" s="1" t="s">
        <v>64</v>
      </c>
      <c r="B155" s="1"/>
      <c r="C155" s="2" t="s">
        <v>65</v>
      </c>
      <c r="D155" s="2"/>
    </row>
    <row r="156" ht="17.6" spans="1:15">
      <c r="A156" s="3" t="s">
        <v>2</v>
      </c>
      <c r="B156" s="4" t="s">
        <v>66</v>
      </c>
      <c r="C156" s="4" t="s">
        <v>67</v>
      </c>
      <c r="D156" s="4" t="s">
        <v>68</v>
      </c>
      <c r="E156" s="4" t="s">
        <v>69</v>
      </c>
    </row>
    <row r="157" ht="17.6" spans="1:15">
      <c r="A157" s="3" t="s">
        <v>28</v>
      </c>
      <c r="B157" s="4">
        <v>237049</v>
      </c>
      <c r="C157" s="4">
        <v>221494</v>
      </c>
      <c r="D157" s="17">
        <f t="shared" ref="D157:D176" si="24">(B157-C157)/C157</f>
        <v>0.0702276359630509</v>
      </c>
      <c r="E157" s="7">
        <v>10</v>
      </c>
    </row>
    <row r="158" ht="17.6" spans="1:15">
      <c r="A158" s="3" t="s">
        <v>20</v>
      </c>
      <c r="B158" s="4">
        <v>46048</v>
      </c>
      <c r="C158" s="4">
        <v>43126</v>
      </c>
      <c r="D158" s="17">
        <f t="shared" si="24"/>
        <v>0.0677549506098409</v>
      </c>
      <c r="E158" s="7">
        <v>10</v>
      </c>
    </row>
    <row r="159" ht="17.6" spans="1:15">
      <c r="A159" s="4" t="s">
        <v>27</v>
      </c>
      <c r="B159" s="4">
        <v>14819</v>
      </c>
      <c r="C159" s="4">
        <v>13903</v>
      </c>
      <c r="D159" s="17">
        <f t="shared" si="24"/>
        <v>0.0658850607782493</v>
      </c>
      <c r="E159" s="6">
        <v>10</v>
      </c>
    </row>
    <row r="160" ht="17.6" spans="1:15">
      <c r="A160" s="3" t="s">
        <v>14</v>
      </c>
      <c r="B160" s="4">
        <v>30960</v>
      </c>
      <c r="C160" s="4">
        <v>30336</v>
      </c>
      <c r="D160" s="17">
        <f t="shared" si="24"/>
        <v>0.0205696202531646</v>
      </c>
      <c r="E160" s="6">
        <f>10*((D160-D175)/(D159-D175))</f>
        <v>7.27341159148274</v>
      </c>
    </row>
    <row r="161" ht="17.6" spans="1:5">
      <c r="A161" s="4" t="s">
        <v>26</v>
      </c>
      <c r="B161" s="4">
        <v>11596</v>
      </c>
      <c r="C161" s="4">
        <v>11529</v>
      </c>
      <c r="D161" s="17">
        <f t="shared" si="24"/>
        <v>0.00581143204094024</v>
      </c>
      <c r="E161" s="6">
        <f>10*((D161-D175)/(D159-D175))</f>
        <v>6.38542497050105</v>
      </c>
    </row>
    <row r="162" ht="17.6" spans="1:5">
      <c r="A162" s="3" t="s">
        <v>29</v>
      </c>
      <c r="B162" s="4">
        <v>23419</v>
      </c>
      <c r="C162" s="4">
        <v>23676</v>
      </c>
      <c r="D162" s="17">
        <f t="shared" si="24"/>
        <v>-0.0108548741341443</v>
      </c>
      <c r="E162" s="7">
        <f>10*((D162-D175)/(D159-D175))</f>
        <v>5.38262864538025</v>
      </c>
    </row>
    <row r="163" ht="17.6" spans="1:5">
      <c r="A163" s="4" t="s">
        <v>17</v>
      </c>
      <c r="B163" s="4">
        <v>3539</v>
      </c>
      <c r="C163" s="4">
        <v>3585</v>
      </c>
      <c r="D163" s="17">
        <f t="shared" si="24"/>
        <v>-0.0128312412831241</v>
      </c>
      <c r="E163" s="6">
        <f>10*((D163-D175)/(D159-D175))</f>
        <v>5.26371245043783</v>
      </c>
    </row>
    <row r="164" ht="17.6" spans="1:5">
      <c r="A164" s="4" t="s">
        <v>22</v>
      </c>
      <c r="B164" s="4">
        <v>5083</v>
      </c>
      <c r="C164" s="4">
        <v>5187</v>
      </c>
      <c r="D164" s="17">
        <f t="shared" si="24"/>
        <v>-0.0200501253132832</v>
      </c>
      <c r="E164" s="6">
        <f>10*((D164-D175)/(D159-D175))</f>
        <v>4.82935883297346</v>
      </c>
    </row>
    <row r="165" ht="17.6" spans="1:5">
      <c r="A165" s="4" t="s">
        <v>24</v>
      </c>
      <c r="B165" s="4">
        <v>17762</v>
      </c>
      <c r="C165" s="4">
        <v>18226</v>
      </c>
      <c r="D165" s="17">
        <f t="shared" si="24"/>
        <v>-0.0254581367277516</v>
      </c>
      <c r="E165" s="6">
        <f>10*((D165-D175)/(D159-D175))</f>
        <v>4.50396375648389</v>
      </c>
    </row>
    <row r="166" ht="17.6" spans="1:5">
      <c r="A166" s="3" t="s">
        <v>23</v>
      </c>
      <c r="B166" s="4">
        <v>16031</v>
      </c>
      <c r="C166" s="4">
        <v>16535</v>
      </c>
      <c r="D166" s="17">
        <f t="shared" si="24"/>
        <v>-0.0304807983066223</v>
      </c>
      <c r="E166" s="7">
        <f>10*((D166-D175)/(D159-D175))</f>
        <v>4.20175482544033</v>
      </c>
    </row>
    <row r="167" ht="17.6" spans="1:5">
      <c r="A167" s="4" t="s">
        <v>18</v>
      </c>
      <c r="B167" s="4">
        <v>6551</v>
      </c>
      <c r="C167" s="4">
        <v>6776</v>
      </c>
      <c r="D167" s="17">
        <f t="shared" si="24"/>
        <v>-0.0332054309327037</v>
      </c>
      <c r="E167" s="6">
        <f>10*((D167-D175)/(D159-D175))</f>
        <v>4.03781618444601</v>
      </c>
    </row>
    <row r="168" ht="17.6" spans="1:5">
      <c r="A168" s="3" t="s">
        <v>21</v>
      </c>
      <c r="B168" s="4">
        <v>29939</v>
      </c>
      <c r="C168" s="4">
        <v>31256</v>
      </c>
      <c r="D168" s="17">
        <f t="shared" si="24"/>
        <v>-0.0421359099052982</v>
      </c>
      <c r="E168" s="6">
        <f>10*((D168-D175)/(D159-D175))</f>
        <v>3.50047747236388</v>
      </c>
    </row>
    <row r="169" ht="17.6" spans="1:5">
      <c r="A169" s="3" t="s">
        <v>25</v>
      </c>
      <c r="B169" s="4">
        <v>17561</v>
      </c>
      <c r="C169" s="4">
        <v>18555</v>
      </c>
      <c r="D169" s="17">
        <f t="shared" si="24"/>
        <v>-0.0535704661816222</v>
      </c>
      <c r="E169" s="18">
        <f>10*((D169-D175)/(D159-D175))</f>
        <v>2.81247073032846</v>
      </c>
    </row>
    <row r="170" ht="17.6" spans="1:5">
      <c r="A170" s="3" t="s">
        <v>19</v>
      </c>
      <c r="B170" s="4">
        <v>13080</v>
      </c>
      <c r="C170" s="4">
        <v>14012</v>
      </c>
      <c r="D170" s="17">
        <f t="shared" si="24"/>
        <v>-0.0665144162146731</v>
      </c>
      <c r="E170" s="7">
        <f>10*((D170-D175)/(D159-D175))</f>
        <v>2.03364515318315</v>
      </c>
    </row>
    <row r="171" ht="17.6" spans="1:5">
      <c r="A171" s="3" t="s">
        <v>30</v>
      </c>
      <c r="B171" s="4">
        <v>25432</v>
      </c>
      <c r="C171" s="4">
        <v>27274</v>
      </c>
      <c r="D171" s="17">
        <f t="shared" si="24"/>
        <v>-0.0675368482804136</v>
      </c>
      <c r="E171" s="7">
        <f>10*((D171-D175)/(D159-D175))</f>
        <v>1.97212635547001</v>
      </c>
    </row>
    <row r="172" ht="17.6" spans="1:5">
      <c r="A172" s="3" t="s">
        <v>16</v>
      </c>
      <c r="B172" s="4">
        <v>5506</v>
      </c>
      <c r="C172" s="4">
        <v>5915</v>
      </c>
      <c r="D172" s="17">
        <f t="shared" si="24"/>
        <v>-0.0691462383770076</v>
      </c>
      <c r="E172" s="7">
        <f>10*((D172-D175)/(D159-D175))</f>
        <v>1.87529083249354</v>
      </c>
    </row>
    <row r="173" ht="17.6" spans="1:5">
      <c r="A173" s="3" t="s">
        <v>31</v>
      </c>
      <c r="B173" s="4">
        <v>25028</v>
      </c>
      <c r="C173" s="4">
        <v>26964</v>
      </c>
      <c r="D173" s="17">
        <f t="shared" si="24"/>
        <v>-0.0717994362854176</v>
      </c>
      <c r="E173" s="7">
        <f>10*((D173-D175)/(D159-D175))</f>
        <v>1.71565035280829</v>
      </c>
    </row>
    <row r="174" ht="17.6" spans="1:5">
      <c r="A174" s="4" t="s">
        <v>32</v>
      </c>
      <c r="B174" s="4">
        <v>13132</v>
      </c>
      <c r="C174" s="4">
        <v>14342</v>
      </c>
      <c r="D174" s="17">
        <f t="shared" si="24"/>
        <v>-0.0843675916887463</v>
      </c>
      <c r="E174" s="6">
        <f>10*((D174-D175)/(D159-D175))</f>
        <v>0.959435993153324</v>
      </c>
    </row>
    <row r="175" ht="17.6" spans="1:5">
      <c r="A175" s="3" t="s">
        <v>15</v>
      </c>
      <c r="B175" s="4">
        <v>12637</v>
      </c>
      <c r="C175" s="4">
        <v>14046</v>
      </c>
      <c r="D175" s="17">
        <f t="shared" si="24"/>
        <v>-0.100313256443115</v>
      </c>
      <c r="E175" s="6">
        <v>0</v>
      </c>
    </row>
    <row r="176" ht="17.6" spans="1:5">
      <c r="A176" s="4" t="s">
        <v>33</v>
      </c>
      <c r="B176" s="19">
        <v>6054</v>
      </c>
      <c r="C176" s="19">
        <v>7158</v>
      </c>
      <c r="D176" s="17">
        <f t="shared" si="24"/>
        <v>-0.154233025984912</v>
      </c>
      <c r="E176" s="4">
        <v>0</v>
      </c>
    </row>
    <row r="184" spans="1:17">
      <c r="A184" s="1" t="s">
        <v>70</v>
      </c>
      <c r="B184" s="1"/>
      <c r="C184" s="2" t="s">
        <v>65</v>
      </c>
      <c r="D184" s="2"/>
    </row>
    <row r="185" ht="17.6" spans="1:17">
      <c r="A185" s="3" t="s">
        <v>2</v>
      </c>
      <c r="B185" s="4" t="s">
        <v>71</v>
      </c>
      <c r="C185" s="4" t="s">
        <v>72</v>
      </c>
      <c r="D185" s="4" t="s">
        <v>73</v>
      </c>
      <c r="E185" s="4" t="s">
        <v>36</v>
      </c>
      <c r="F185" s="4" t="s">
        <v>45</v>
      </c>
      <c r="G185" s="4" t="s">
        <v>46</v>
      </c>
      <c r="H185" s="4" t="s">
        <v>9</v>
      </c>
      <c r="I185" s="4" t="s">
        <v>10</v>
      </c>
      <c r="J185" s="4" t="s">
        <v>11</v>
      </c>
      <c r="K185" s="4"/>
      <c r="L185" s="3" t="s">
        <v>2</v>
      </c>
      <c r="M185" s="4" t="s">
        <v>45</v>
      </c>
      <c r="N185" s="4" t="s">
        <v>12</v>
      </c>
      <c r="O185" s="4" t="s">
        <v>13</v>
      </c>
      <c r="P185" s="4"/>
      <c r="Q185" s="4"/>
    </row>
    <row r="186" ht="17.6" spans="1:17">
      <c r="A186" s="3" t="s">
        <v>16</v>
      </c>
      <c r="B186" s="4">
        <v>0.42</v>
      </c>
      <c r="C186" s="4">
        <v>272.44</v>
      </c>
      <c r="D186" s="4">
        <v>0.32</v>
      </c>
      <c r="E186" s="4">
        <v>393.18</v>
      </c>
      <c r="F186" s="5">
        <f t="shared" ref="F186:F205" si="25">B186/C186</f>
        <v>0.00154162384378212</v>
      </c>
      <c r="G186" s="5">
        <f t="shared" ref="G186:G205" si="26">D186/E186</f>
        <v>0.000813876595961137</v>
      </c>
      <c r="H186" s="5">
        <f t="shared" ref="H186:H205" si="27">(F186-G186)/G186</f>
        <v>0.89417394655704</v>
      </c>
      <c r="I186" s="4">
        <v>10</v>
      </c>
      <c r="J186" s="7">
        <f t="shared" ref="J186:J205" si="28">I186*0.3</f>
        <v>3</v>
      </c>
      <c r="K186" s="4"/>
      <c r="L186" s="3" t="s">
        <v>14</v>
      </c>
      <c r="M186" s="4">
        <v>0.042</v>
      </c>
      <c r="N186" s="4">
        <v>10</v>
      </c>
      <c r="O186" s="7">
        <f t="shared" ref="O186:O205" si="29">N186*0.7</f>
        <v>7</v>
      </c>
      <c r="P186" s="4"/>
      <c r="Q186" s="4"/>
    </row>
    <row r="187" ht="17.6" spans="1:17">
      <c r="A187" s="3" t="s">
        <v>30</v>
      </c>
      <c r="B187" s="4">
        <v>6.21</v>
      </c>
      <c r="C187" s="4">
        <v>680.89</v>
      </c>
      <c r="D187" s="4">
        <v>4.22</v>
      </c>
      <c r="E187" s="4">
        <v>705.65</v>
      </c>
      <c r="F187" s="5">
        <f t="shared" si="25"/>
        <v>0.00912041592621422</v>
      </c>
      <c r="G187" s="5">
        <f t="shared" si="26"/>
        <v>0.00598030184935875</v>
      </c>
      <c r="H187" s="5">
        <f t="shared" si="27"/>
        <v>0.525076184439115</v>
      </c>
      <c r="I187" s="4">
        <v>10</v>
      </c>
      <c r="J187" s="7">
        <f t="shared" si="28"/>
        <v>3</v>
      </c>
      <c r="K187" s="4"/>
      <c r="L187" s="3" t="s">
        <v>29</v>
      </c>
      <c r="M187" s="4">
        <v>0.04</v>
      </c>
      <c r="N187" s="4">
        <v>10</v>
      </c>
      <c r="O187" s="7">
        <f t="shared" si="29"/>
        <v>7</v>
      </c>
      <c r="P187" s="4"/>
      <c r="Q187" s="4"/>
    </row>
    <row r="188" ht="17.6" spans="1:17">
      <c r="A188" s="3" t="s">
        <v>19</v>
      </c>
      <c r="B188" s="4">
        <v>11.11</v>
      </c>
      <c r="C188" s="4">
        <v>1003.79</v>
      </c>
      <c r="D188" s="4">
        <v>9.04</v>
      </c>
      <c r="E188" s="4">
        <v>1056.18</v>
      </c>
      <c r="F188" s="5">
        <f t="shared" si="25"/>
        <v>0.0110680520826069</v>
      </c>
      <c r="G188" s="5">
        <f t="shared" si="26"/>
        <v>0.00855914711507508</v>
      </c>
      <c r="H188" s="5">
        <f t="shared" si="27"/>
        <v>0.293125580598205</v>
      </c>
      <c r="I188" s="7">
        <v>10</v>
      </c>
      <c r="J188" s="7">
        <f t="shared" si="28"/>
        <v>3</v>
      </c>
      <c r="K188" s="4"/>
      <c r="L188" s="4" t="s">
        <v>27</v>
      </c>
      <c r="M188" s="4">
        <v>0.039</v>
      </c>
      <c r="N188" s="6">
        <v>10</v>
      </c>
      <c r="O188" s="6">
        <f t="shared" si="29"/>
        <v>7</v>
      </c>
      <c r="P188" s="4"/>
      <c r="Q188" s="4"/>
    </row>
    <row r="189" ht="17.6" spans="1:17">
      <c r="A189" s="3" t="s">
        <v>26</v>
      </c>
      <c r="B189" s="4">
        <v>5.37</v>
      </c>
      <c r="C189" s="4">
        <v>418.04</v>
      </c>
      <c r="D189" s="4">
        <v>7.14</v>
      </c>
      <c r="E189" s="4">
        <v>711.43</v>
      </c>
      <c r="F189" s="5">
        <f t="shared" si="25"/>
        <v>0.0128456607023251</v>
      </c>
      <c r="G189" s="5">
        <f t="shared" si="26"/>
        <v>0.010036124425453</v>
      </c>
      <c r="H189" s="5">
        <f t="shared" si="27"/>
        <v>0.279942352024534</v>
      </c>
      <c r="I189" s="6">
        <f>10*((H189-H204)/(H188-H204))</f>
        <v>9.64347548017927</v>
      </c>
      <c r="J189" s="6">
        <f t="shared" si="28"/>
        <v>2.89304264405378</v>
      </c>
      <c r="K189" s="4"/>
      <c r="L189" s="4" t="s">
        <v>18</v>
      </c>
      <c r="M189" s="4">
        <v>0.038</v>
      </c>
      <c r="N189" s="6">
        <f>10*((M189-M204)/(M188-M204))</f>
        <v>9.72972972972973</v>
      </c>
      <c r="O189" s="6">
        <f t="shared" si="29"/>
        <v>6.81081081081081</v>
      </c>
      <c r="P189" s="4"/>
      <c r="Q189" s="4"/>
    </row>
    <row r="190" ht="17.6" spans="1:17">
      <c r="A190" s="3" t="s">
        <v>18</v>
      </c>
      <c r="B190" s="4">
        <v>7.01</v>
      </c>
      <c r="C190" s="4">
        <v>186.69</v>
      </c>
      <c r="D190" s="4">
        <v>6.99</v>
      </c>
      <c r="E190" s="4">
        <v>229.71</v>
      </c>
      <c r="F190" s="5">
        <f t="shared" si="25"/>
        <v>0.0375488778188441</v>
      </c>
      <c r="G190" s="5">
        <f t="shared" si="26"/>
        <v>0.0304296721953768</v>
      </c>
      <c r="H190" s="5">
        <f t="shared" si="27"/>
        <v>0.23395604059609</v>
      </c>
      <c r="I190" s="6">
        <f>10*((H190-H204)/(H188-H204))</f>
        <v>8.39983114004433</v>
      </c>
      <c r="J190" s="6">
        <f t="shared" si="28"/>
        <v>2.5199493420133</v>
      </c>
      <c r="K190" s="4"/>
      <c r="L190" s="3" t="s">
        <v>23</v>
      </c>
      <c r="M190" s="4">
        <v>0.022</v>
      </c>
      <c r="N190" s="7">
        <f>10*((M190-M204)/(M188-M204))</f>
        <v>5.4054054054054</v>
      </c>
      <c r="O190" s="7">
        <f t="shared" si="29"/>
        <v>3.78378378378378</v>
      </c>
      <c r="P190" s="4"/>
      <c r="Q190" s="4"/>
    </row>
    <row r="191" ht="17.6" spans="1:17">
      <c r="A191" s="3" t="s">
        <v>28</v>
      </c>
      <c r="B191" s="4">
        <v>129.04</v>
      </c>
      <c r="C191" s="4">
        <v>9002.04</v>
      </c>
      <c r="D191" s="4">
        <v>130.6</v>
      </c>
      <c r="E191" s="4">
        <v>11129.72</v>
      </c>
      <c r="F191" s="5">
        <f t="shared" si="25"/>
        <v>0.0143345286179577</v>
      </c>
      <c r="G191" s="5">
        <f t="shared" si="26"/>
        <v>0.0117343473151166</v>
      </c>
      <c r="H191" s="5">
        <f t="shared" si="27"/>
        <v>0.22158721171406</v>
      </c>
      <c r="I191" s="7">
        <f>10*((H191-H204)/(H188-H204))</f>
        <v>8.06533107784277</v>
      </c>
      <c r="J191" s="7">
        <f t="shared" si="28"/>
        <v>2.41959932335283</v>
      </c>
      <c r="K191" s="4"/>
      <c r="L191" s="4" t="s">
        <v>22</v>
      </c>
      <c r="M191" s="4">
        <v>0.02</v>
      </c>
      <c r="N191" s="6">
        <f>10*((M191-M204)/(M188-M204))</f>
        <v>4.86486486486487</v>
      </c>
      <c r="O191" s="6">
        <f t="shared" si="29"/>
        <v>3.40540540540541</v>
      </c>
      <c r="P191" s="4"/>
      <c r="Q191" s="4"/>
    </row>
    <row r="192" ht="17.6" spans="1:17">
      <c r="A192" s="3" t="s">
        <v>32</v>
      </c>
      <c r="B192" s="4">
        <v>0.86</v>
      </c>
      <c r="C192" s="4">
        <v>512.66</v>
      </c>
      <c r="D192" s="4">
        <v>0.81</v>
      </c>
      <c r="E192" s="4">
        <v>578.15</v>
      </c>
      <c r="F192" s="8">
        <f t="shared" si="25"/>
        <v>0.00167752506534545</v>
      </c>
      <c r="G192" s="8">
        <f t="shared" si="26"/>
        <v>0.00140102049641097</v>
      </c>
      <c r="H192" s="8">
        <f t="shared" si="27"/>
        <v>0.197359403122807</v>
      </c>
      <c r="I192" s="6">
        <f>10*((H192-H204)/(H188-H204))</f>
        <v>7.41011920951823</v>
      </c>
      <c r="J192" s="6">
        <f t="shared" si="28"/>
        <v>2.22303576285547</v>
      </c>
      <c r="K192" s="4"/>
      <c r="L192" s="3" t="s">
        <v>21</v>
      </c>
      <c r="M192" s="4">
        <v>0.019</v>
      </c>
      <c r="N192" s="7">
        <f>10*((M192-M204)/(M188-M204))</f>
        <v>4.5945945945946</v>
      </c>
      <c r="O192" s="7">
        <f t="shared" si="29"/>
        <v>3.21621621621622</v>
      </c>
      <c r="P192" s="4"/>
      <c r="Q192" s="4"/>
    </row>
    <row r="193" ht="17.6" spans="1:17">
      <c r="A193" s="4" t="s">
        <v>27</v>
      </c>
      <c r="B193" s="4">
        <v>24.36</v>
      </c>
      <c r="C193" s="4">
        <v>618.11</v>
      </c>
      <c r="D193" s="4">
        <v>24.02</v>
      </c>
      <c r="E193" s="4">
        <v>725.43</v>
      </c>
      <c r="F193" s="8">
        <f t="shared" si="25"/>
        <v>0.0394104609211953</v>
      </c>
      <c r="G193" s="8">
        <f t="shared" si="26"/>
        <v>0.033111395999614</v>
      </c>
      <c r="H193" s="8">
        <f t="shared" si="27"/>
        <v>0.190238578936831</v>
      </c>
      <c r="I193" s="6">
        <f>10*((H193-H204)/(H188-H204))</f>
        <v>7.21754510603168</v>
      </c>
      <c r="J193" s="6">
        <f t="shared" si="28"/>
        <v>2.1652635318095</v>
      </c>
      <c r="K193" s="4"/>
      <c r="L193" s="3" t="s">
        <v>15</v>
      </c>
      <c r="M193" s="4">
        <v>0.017</v>
      </c>
      <c r="N193" s="7">
        <f>10*((M193-M204)/(M188-M204))</f>
        <v>4.05405405405405</v>
      </c>
      <c r="O193" s="7">
        <f t="shared" si="29"/>
        <v>2.83783783783784</v>
      </c>
      <c r="P193" s="4"/>
      <c r="Q193" s="4"/>
    </row>
    <row r="194" ht="17.6" spans="1:17">
      <c r="A194" s="3" t="s">
        <v>20</v>
      </c>
      <c r="B194" s="4">
        <v>37.79</v>
      </c>
      <c r="C194" s="4">
        <v>3221.16</v>
      </c>
      <c r="D194" s="4">
        <v>34.19</v>
      </c>
      <c r="E194" s="4">
        <v>3448.68</v>
      </c>
      <c r="F194" s="5">
        <f t="shared" si="25"/>
        <v>0.0117317984825342</v>
      </c>
      <c r="G194" s="5">
        <f t="shared" si="26"/>
        <v>0.00991393808645627</v>
      </c>
      <c r="H194" s="5">
        <f t="shared" si="27"/>
        <v>0.18336410619322</v>
      </c>
      <c r="I194" s="7">
        <f>10*((H194-H204)/(H188-H204))</f>
        <v>7.03163328024182</v>
      </c>
      <c r="J194" s="7">
        <f t="shared" si="28"/>
        <v>2.10948998407255</v>
      </c>
      <c r="K194" s="4"/>
      <c r="L194" s="3" t="s">
        <v>28</v>
      </c>
      <c r="M194" s="4">
        <v>0.014</v>
      </c>
      <c r="N194" s="7">
        <f>10*((M194-M204)/(M188-M204))</f>
        <v>3.24324324324324</v>
      </c>
      <c r="O194" s="7">
        <f t="shared" si="29"/>
        <v>2.27027027027027</v>
      </c>
      <c r="P194" s="4"/>
      <c r="Q194" s="4"/>
    </row>
    <row r="195" ht="17.6" spans="1:17">
      <c r="A195" s="3" t="s">
        <v>33</v>
      </c>
      <c r="B195" s="4">
        <v>0.1</v>
      </c>
      <c r="C195" s="4">
        <v>180.97</v>
      </c>
      <c r="D195" s="4">
        <v>0.097</v>
      </c>
      <c r="E195" s="4">
        <v>203.21</v>
      </c>
      <c r="F195" s="8">
        <f t="shared" si="25"/>
        <v>0.000552577775321877</v>
      </c>
      <c r="G195" s="20">
        <f t="shared" si="26"/>
        <v>0.000477338713645982</v>
      </c>
      <c r="H195" s="8">
        <f t="shared" si="27"/>
        <v>0.157621955908851</v>
      </c>
      <c r="I195" s="6">
        <f>10*((H195-H204)/(H188-H204))</f>
        <v>6.33546786689106</v>
      </c>
      <c r="J195" s="6">
        <f t="shared" si="28"/>
        <v>1.90064036006732</v>
      </c>
      <c r="K195" s="4"/>
      <c r="L195" s="3" t="s">
        <v>25</v>
      </c>
      <c r="M195" s="4">
        <v>0.013</v>
      </c>
      <c r="N195" s="7">
        <f>10*((M195-M204)/(M188-M204))</f>
        <v>2.97297297297297</v>
      </c>
      <c r="O195" s="7">
        <f t="shared" si="29"/>
        <v>2.08108108108108</v>
      </c>
      <c r="P195" s="4"/>
      <c r="Q195" s="4"/>
    </row>
    <row r="196" ht="17.6" spans="1:17">
      <c r="A196" s="4" t="s">
        <v>24</v>
      </c>
      <c r="B196" s="4">
        <v>5.33</v>
      </c>
      <c r="C196" s="4">
        <v>1083.11</v>
      </c>
      <c r="D196" s="4">
        <v>4.91</v>
      </c>
      <c r="E196" s="4">
        <v>1137.61</v>
      </c>
      <c r="F196" s="8">
        <f t="shared" si="25"/>
        <v>0.00492101448606328</v>
      </c>
      <c r="G196" s="8">
        <f t="shared" si="26"/>
        <v>0.00431606613865912</v>
      </c>
      <c r="H196" s="8">
        <f t="shared" si="27"/>
        <v>0.140161973419643</v>
      </c>
      <c r="I196" s="6">
        <f>10*((H196-H204)/(H188-H204))</f>
        <v>5.86328369453477</v>
      </c>
      <c r="J196" s="6">
        <f t="shared" si="28"/>
        <v>1.75898510836043</v>
      </c>
      <c r="K196" s="4"/>
      <c r="L196" s="4" t="s">
        <v>26</v>
      </c>
      <c r="M196" s="4">
        <v>0.013</v>
      </c>
      <c r="N196" s="6">
        <f>10*((M196-M204)/(M188-M204))</f>
        <v>2.97297297297297</v>
      </c>
      <c r="O196" s="6">
        <f t="shared" si="29"/>
        <v>2.08108108108108</v>
      </c>
      <c r="P196" s="4"/>
      <c r="Q196" s="4"/>
    </row>
    <row r="197" ht="17.6" spans="1:17">
      <c r="A197" s="3" t="s">
        <v>25</v>
      </c>
      <c r="B197" s="4">
        <v>11.03</v>
      </c>
      <c r="C197" s="4">
        <v>818.17</v>
      </c>
      <c r="D197" s="4">
        <v>12.31</v>
      </c>
      <c r="E197" s="4">
        <v>989.38</v>
      </c>
      <c r="F197" s="5">
        <f t="shared" si="25"/>
        <v>0.0134813058410844</v>
      </c>
      <c r="G197" s="5">
        <f t="shared" si="26"/>
        <v>0.0124421354787847</v>
      </c>
      <c r="H197" s="5">
        <f t="shared" si="27"/>
        <v>0.083520257762149</v>
      </c>
      <c r="I197" s="7">
        <f>10*((H197-H204)/(H188-H204))</f>
        <v>4.33147679581042</v>
      </c>
      <c r="J197" s="7">
        <f t="shared" si="28"/>
        <v>1.29944303874313</v>
      </c>
      <c r="K197" s="4"/>
      <c r="L197" s="3" t="s">
        <v>20</v>
      </c>
      <c r="M197" s="4">
        <v>0.012</v>
      </c>
      <c r="N197" s="7">
        <f>10*((M197-M204)/(M188-M204))</f>
        <v>2.7027027027027</v>
      </c>
      <c r="O197" s="7">
        <f t="shared" si="29"/>
        <v>1.89189189189189</v>
      </c>
      <c r="P197" s="4"/>
      <c r="Q197" s="4"/>
    </row>
    <row r="198" ht="17.6" spans="1:17">
      <c r="A198" s="3" t="s">
        <v>15</v>
      </c>
      <c r="B198" s="4">
        <v>12.2</v>
      </c>
      <c r="C198" s="4">
        <v>701.32</v>
      </c>
      <c r="D198" s="4">
        <v>12.83</v>
      </c>
      <c r="E198" s="4">
        <v>796.65</v>
      </c>
      <c r="F198" s="5">
        <f t="shared" si="25"/>
        <v>0.0173957679803799</v>
      </c>
      <c r="G198" s="5">
        <f t="shared" si="26"/>
        <v>0.0161049394338794</v>
      </c>
      <c r="H198" s="5">
        <f t="shared" si="27"/>
        <v>0.0801510959913958</v>
      </c>
      <c r="I198" s="7">
        <f>10*((H198-H204)/(H188-H204))</f>
        <v>4.2403618784134</v>
      </c>
      <c r="J198" s="7">
        <f t="shared" si="28"/>
        <v>1.27210856352402</v>
      </c>
      <c r="K198" s="4"/>
      <c r="L198" s="3" t="s">
        <v>19</v>
      </c>
      <c r="M198" s="4">
        <v>0.011</v>
      </c>
      <c r="N198" s="7">
        <f>10*((M198-M204)/(M188-M204))</f>
        <v>2.43243243243243</v>
      </c>
      <c r="O198" s="7">
        <f t="shared" si="29"/>
        <v>1.7027027027027</v>
      </c>
      <c r="P198" s="4"/>
      <c r="Q198" s="4"/>
    </row>
    <row r="199" ht="17.6" spans="1:17">
      <c r="A199" s="3" t="s">
        <v>14</v>
      </c>
      <c r="B199" s="4">
        <v>46.02</v>
      </c>
      <c r="C199" s="4">
        <v>1092.03</v>
      </c>
      <c r="D199" s="4">
        <v>44.52</v>
      </c>
      <c r="E199" s="4">
        <v>1140.19</v>
      </c>
      <c r="F199" s="5">
        <f t="shared" si="25"/>
        <v>0.0421416994038625</v>
      </c>
      <c r="G199" s="5">
        <f t="shared" si="26"/>
        <v>0.0390461238916321</v>
      </c>
      <c r="H199" s="5">
        <f t="shared" si="27"/>
        <v>0.0792799695258317</v>
      </c>
      <c r="I199" s="7">
        <f>10*((H199-H204)/(H188-H204))</f>
        <v>4.2168033135973</v>
      </c>
      <c r="J199" s="7">
        <f t="shared" si="28"/>
        <v>1.26504099407919</v>
      </c>
      <c r="K199" s="4"/>
      <c r="L199" s="3" t="s">
        <v>30</v>
      </c>
      <c r="M199" s="4">
        <v>0.009</v>
      </c>
      <c r="N199" s="7">
        <f>10*((M199-M204)/(M188-M204))</f>
        <v>1.89189189189189</v>
      </c>
      <c r="O199" s="7">
        <f t="shared" si="29"/>
        <v>1.32432432432432</v>
      </c>
      <c r="P199" s="4"/>
      <c r="Q199" s="4"/>
    </row>
    <row r="200" ht="17.6" spans="1:17">
      <c r="A200" s="3" t="s">
        <v>31</v>
      </c>
      <c r="B200" s="4">
        <v>4.68</v>
      </c>
      <c r="C200" s="4">
        <v>1051.01</v>
      </c>
      <c r="D200" s="4">
        <v>4.92</v>
      </c>
      <c r="E200" s="4">
        <v>1135.02</v>
      </c>
      <c r="F200" s="5">
        <f t="shared" si="25"/>
        <v>0.00445285963026042</v>
      </c>
      <c r="G200" s="5">
        <f t="shared" si="26"/>
        <v>0.00433472537928847</v>
      </c>
      <c r="H200" s="5">
        <f t="shared" si="27"/>
        <v>0.0272529954345889</v>
      </c>
      <c r="I200" s="7">
        <f>10*((H200-H204)/(H188-H204))</f>
        <v>2.80979653586079</v>
      </c>
      <c r="J200" s="7">
        <f t="shared" si="28"/>
        <v>0.842938960758237</v>
      </c>
      <c r="K200" s="4"/>
      <c r="L200" s="4" t="s">
        <v>17</v>
      </c>
      <c r="M200" s="4">
        <v>0.008</v>
      </c>
      <c r="N200" s="6">
        <f>10*((M200-M204)/(M188-M204))</f>
        <v>1.62162162162162</v>
      </c>
      <c r="O200" s="6">
        <f t="shared" si="29"/>
        <v>1.13513513513514</v>
      </c>
      <c r="P200" s="4"/>
      <c r="Q200" s="4"/>
    </row>
    <row r="201" ht="17.6" spans="1:17">
      <c r="A201" s="4" t="s">
        <v>22</v>
      </c>
      <c r="B201" s="4">
        <v>6.21</v>
      </c>
      <c r="C201" s="4">
        <v>311.76</v>
      </c>
      <c r="D201" s="4">
        <v>7.69</v>
      </c>
      <c r="E201" s="4">
        <v>390.14</v>
      </c>
      <c r="F201" s="8">
        <f t="shared" si="25"/>
        <v>0.019919168591224</v>
      </c>
      <c r="G201" s="8">
        <f t="shared" si="26"/>
        <v>0.0197108730199416</v>
      </c>
      <c r="H201" s="8">
        <f t="shared" si="27"/>
        <v>0.0105675467074301</v>
      </c>
      <c r="I201" s="6">
        <f>10*((H201-H204)/(H188-H204))</f>
        <v>2.35855869513003</v>
      </c>
      <c r="J201" s="6">
        <f t="shared" si="28"/>
        <v>0.70756760853901</v>
      </c>
      <c r="K201" s="4"/>
      <c r="L201" s="4" t="s">
        <v>24</v>
      </c>
      <c r="M201" s="4">
        <v>0.005</v>
      </c>
      <c r="N201" s="6">
        <f>10*((M201-M204)/(M188-M204))</f>
        <v>0.810810810810811</v>
      </c>
      <c r="O201" s="6">
        <f t="shared" si="29"/>
        <v>0.567567567567568</v>
      </c>
      <c r="P201" s="4"/>
      <c r="Q201" s="4"/>
    </row>
    <row r="202" ht="17.6" spans="1:17">
      <c r="A202" s="3" t="s">
        <v>23</v>
      </c>
      <c r="B202" s="4">
        <v>18.41</v>
      </c>
      <c r="C202" s="4">
        <v>820.94</v>
      </c>
      <c r="D202" s="4">
        <v>20.86</v>
      </c>
      <c r="E202" s="4">
        <v>904.75</v>
      </c>
      <c r="F202" s="5">
        <f t="shared" si="25"/>
        <v>0.0224255122177017</v>
      </c>
      <c r="G202" s="5">
        <f t="shared" si="26"/>
        <v>0.0230560928433269</v>
      </c>
      <c r="H202" s="5">
        <f t="shared" si="27"/>
        <v>-0.0273498476047183</v>
      </c>
      <c r="I202" s="6">
        <f>10*((H202-H204)/(H188-H204))</f>
        <v>1.33312848852726</v>
      </c>
      <c r="J202" s="7">
        <f t="shared" si="28"/>
        <v>0.399938546558177</v>
      </c>
      <c r="K202" s="4"/>
      <c r="L202" s="3" t="s">
        <v>31</v>
      </c>
      <c r="M202" s="4">
        <v>0.004</v>
      </c>
      <c r="N202" s="7">
        <f>10*((M202-M204)/(M188-M204))</f>
        <v>0.540540540540541</v>
      </c>
      <c r="O202" s="7">
        <f t="shared" si="29"/>
        <v>0.378378378378378</v>
      </c>
      <c r="P202" s="4"/>
      <c r="Q202" s="4"/>
    </row>
    <row r="203" ht="17.6" spans="1:17">
      <c r="A203" s="3" t="s">
        <v>29</v>
      </c>
      <c r="B203" s="4">
        <v>57.22</v>
      </c>
      <c r="C203" s="4">
        <v>1446.85</v>
      </c>
      <c r="D203" s="4">
        <v>68.28</v>
      </c>
      <c r="E203" s="4">
        <v>1644.65</v>
      </c>
      <c r="F203" s="5">
        <f t="shared" si="25"/>
        <v>0.0395479835504717</v>
      </c>
      <c r="G203" s="5">
        <f t="shared" si="26"/>
        <v>0.0415164320676132</v>
      </c>
      <c r="H203" s="5">
        <f t="shared" si="27"/>
        <v>-0.047413720763279</v>
      </c>
      <c r="I203" s="7">
        <f>10*((H203-H204)/(H188-H204))</f>
        <v>0.790525232911587</v>
      </c>
      <c r="J203" s="7">
        <f t="shared" si="28"/>
        <v>0.237157569873476</v>
      </c>
      <c r="K203" s="4"/>
      <c r="L203" s="3" t="s">
        <v>16</v>
      </c>
      <c r="M203" s="4">
        <v>0.002</v>
      </c>
      <c r="N203" s="6">
        <f>10*((M203-M204)/(M188-M204))</f>
        <v>0</v>
      </c>
      <c r="O203" s="7">
        <f t="shared" si="29"/>
        <v>0</v>
      </c>
      <c r="P203" s="4"/>
      <c r="Q203" s="4"/>
    </row>
    <row r="204" ht="17.6" spans="1:17">
      <c r="A204" s="3" t="s">
        <v>21</v>
      </c>
      <c r="B204" s="4">
        <v>23.43</v>
      </c>
      <c r="C204" s="4">
        <v>1216.17</v>
      </c>
      <c r="D204" s="4">
        <v>25.61</v>
      </c>
      <c r="E204" s="4">
        <v>1227.44</v>
      </c>
      <c r="F204" s="5">
        <f t="shared" si="25"/>
        <v>0.0192653987518192</v>
      </c>
      <c r="G204" s="5">
        <f t="shared" si="26"/>
        <v>0.0208645636446588</v>
      </c>
      <c r="H204" s="5">
        <f t="shared" si="27"/>
        <v>-0.0766450197605231</v>
      </c>
      <c r="I204" s="7">
        <v>0</v>
      </c>
      <c r="J204" s="7">
        <f t="shared" si="28"/>
        <v>0</v>
      </c>
      <c r="K204" s="4"/>
      <c r="L204" s="4" t="s">
        <v>32</v>
      </c>
      <c r="M204" s="4">
        <v>0.002</v>
      </c>
      <c r="N204" s="6">
        <v>0</v>
      </c>
      <c r="O204" s="6">
        <f t="shared" si="29"/>
        <v>0</v>
      </c>
      <c r="P204" s="4"/>
      <c r="Q204" s="4"/>
    </row>
    <row r="205" ht="17.6" spans="1:17">
      <c r="A205" s="3" t="s">
        <v>17</v>
      </c>
      <c r="B205" s="4">
        <v>5.1</v>
      </c>
      <c r="C205" s="4">
        <v>636.64</v>
      </c>
      <c r="D205" s="4">
        <v>5.26</v>
      </c>
      <c r="E205" s="4">
        <v>558.27</v>
      </c>
      <c r="F205" s="8">
        <f t="shared" si="25"/>
        <v>0.00801080673536064</v>
      </c>
      <c r="G205" s="8">
        <f t="shared" si="26"/>
        <v>0.00942196428251563</v>
      </c>
      <c r="H205" s="8">
        <f t="shared" si="27"/>
        <v>-0.149773179439204</v>
      </c>
      <c r="I205" s="6">
        <v>0</v>
      </c>
      <c r="J205" s="6">
        <f t="shared" si="28"/>
        <v>0</v>
      </c>
      <c r="K205" s="4"/>
      <c r="L205" s="4" t="s">
        <v>33</v>
      </c>
      <c r="M205" s="4">
        <v>0.001</v>
      </c>
      <c r="N205" s="4">
        <v>0</v>
      </c>
      <c r="O205" s="4">
        <f t="shared" si="29"/>
        <v>0</v>
      </c>
      <c r="P205" s="4"/>
      <c r="Q205" s="4"/>
    </row>
    <row r="206" ht="17.6" spans="1:17">
      <c r="A206" s="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 ht="17.6" spans="1:17">
      <c r="A207" s="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 ht="17.6" spans="1:17">
      <c r="A208" s="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 ht="17.6" spans="1:17">
      <c r="A209" s="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 ht="17.6" spans="1:17">
      <c r="A210" s="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 ht="17.6" spans="1:17">
      <c r="A211" s="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 ht="17.6" spans="1:17">
      <c r="A212" s="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 ht="17.6" spans="1:17">
      <c r="A213" s="21" t="s">
        <v>74</v>
      </c>
      <c r="B213" s="21"/>
      <c r="C213" s="15" t="s">
        <v>75</v>
      </c>
      <c r="D213" s="15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 ht="17.6" spans="1:17">
      <c r="A214" s="3" t="s">
        <v>2</v>
      </c>
      <c r="B214" s="4" t="s">
        <v>76</v>
      </c>
      <c r="C214" s="4" t="s">
        <v>72</v>
      </c>
      <c r="D214" s="4" t="s">
        <v>77</v>
      </c>
      <c r="E214" s="4" t="s">
        <v>36</v>
      </c>
      <c r="F214" s="4" t="s">
        <v>45</v>
      </c>
      <c r="G214" s="4" t="s">
        <v>78</v>
      </c>
      <c r="H214" s="4" t="s">
        <v>9</v>
      </c>
      <c r="I214" s="4" t="s">
        <v>10</v>
      </c>
      <c r="J214" s="4" t="s">
        <v>11</v>
      </c>
      <c r="K214" s="4"/>
      <c r="L214" s="4"/>
      <c r="M214" s="3" t="s">
        <v>2</v>
      </c>
      <c r="N214" s="4" t="s">
        <v>45</v>
      </c>
      <c r="O214" s="4" t="s">
        <v>12</v>
      </c>
      <c r="P214" s="4" t="s">
        <v>49</v>
      </c>
      <c r="Q214" s="4"/>
    </row>
    <row r="215" ht="17.6" spans="1:17">
      <c r="A215" s="3" t="s">
        <v>22</v>
      </c>
      <c r="B215" s="4">
        <v>9.27</v>
      </c>
      <c r="C215" s="4">
        <v>311.76</v>
      </c>
      <c r="D215" s="4">
        <v>1.41</v>
      </c>
      <c r="E215" s="4">
        <v>390.14</v>
      </c>
      <c r="F215" s="5">
        <f t="shared" ref="F215:F221" si="30">B215/C215</f>
        <v>0.0297344110854503</v>
      </c>
      <c r="G215" s="5">
        <f t="shared" ref="G215:G219" si="31">D215/E215</f>
        <v>0.00361408725073051</v>
      </c>
      <c r="H215" s="5">
        <f t="shared" ref="H215:H219" si="32">(F215-G215)/G215</f>
        <v>7.22736392970042</v>
      </c>
      <c r="I215" s="7">
        <v>10</v>
      </c>
      <c r="J215" s="7">
        <f t="shared" ref="J215:J221" si="33">I215*0.3</f>
        <v>3</v>
      </c>
      <c r="K215" s="4"/>
      <c r="L215" s="4"/>
      <c r="M215" s="3" t="s">
        <v>22</v>
      </c>
      <c r="N215" s="4">
        <v>0.03</v>
      </c>
      <c r="O215" s="4">
        <v>10</v>
      </c>
      <c r="P215" s="4">
        <f t="shared" ref="P215:P221" si="34">O215*0.7</f>
        <v>7</v>
      </c>
      <c r="Q215" s="4"/>
    </row>
    <row r="216" ht="17.6" spans="1:17">
      <c r="A216" s="3" t="s">
        <v>24</v>
      </c>
      <c r="B216" s="4">
        <v>5.72</v>
      </c>
      <c r="C216" s="4">
        <v>1083.11</v>
      </c>
      <c r="D216" s="4">
        <v>4.85</v>
      </c>
      <c r="E216" s="4">
        <v>1137.61</v>
      </c>
      <c r="F216" s="5">
        <f t="shared" si="30"/>
        <v>0.00528108871675084</v>
      </c>
      <c r="G216" s="5">
        <f t="shared" si="31"/>
        <v>0.00426332398625188</v>
      </c>
      <c r="H216" s="5">
        <f t="shared" si="32"/>
        <v>0.238725636095448</v>
      </c>
      <c r="I216" s="7">
        <f>10*((H216-H219)/(H215-H219))</f>
        <v>1.4104865013609</v>
      </c>
      <c r="J216" s="7">
        <f t="shared" si="33"/>
        <v>0.423145950408271</v>
      </c>
      <c r="K216" s="4"/>
      <c r="L216" s="4"/>
      <c r="M216" s="3" t="s">
        <v>20</v>
      </c>
      <c r="N216" s="4">
        <v>0.006</v>
      </c>
      <c r="O216" s="7">
        <f>10*((N216-N221)/(N215-N221))</f>
        <v>1.42857142857143</v>
      </c>
      <c r="P216" s="6">
        <f t="shared" si="34"/>
        <v>1</v>
      </c>
      <c r="Q216" s="4"/>
    </row>
    <row r="217" ht="17.6" spans="1:17">
      <c r="A217" s="3" t="s">
        <v>20</v>
      </c>
      <c r="B217" s="4">
        <v>18.9</v>
      </c>
      <c r="C217" s="4">
        <v>3221.16</v>
      </c>
      <c r="D217" s="4">
        <v>23.8</v>
      </c>
      <c r="E217" s="4">
        <v>3448.68</v>
      </c>
      <c r="F217" s="5">
        <f t="shared" si="30"/>
        <v>0.00586745147710763</v>
      </c>
      <c r="G217" s="5">
        <f t="shared" si="31"/>
        <v>0.00690119118039366</v>
      </c>
      <c r="H217" s="5">
        <f t="shared" si="32"/>
        <v>-0.149791489072625</v>
      </c>
      <c r="I217" s="7">
        <f>10*((H217-H219)/(H215-H219))</f>
        <v>0.93297243483133</v>
      </c>
      <c r="J217" s="7">
        <f t="shared" si="33"/>
        <v>0.279891730449399</v>
      </c>
      <c r="K217" s="4"/>
      <c r="L217" s="3"/>
      <c r="M217" s="3" t="s">
        <v>24</v>
      </c>
      <c r="N217" s="4">
        <v>0.005</v>
      </c>
      <c r="O217" s="7">
        <f>10*((N217-N221)/(N215-N221))</f>
        <v>1.07142857142857</v>
      </c>
      <c r="P217" s="6">
        <f t="shared" si="34"/>
        <v>0.75</v>
      </c>
      <c r="Q217" s="4"/>
    </row>
    <row r="218" ht="17.6" spans="1:17">
      <c r="A218" s="3" t="s">
        <v>14</v>
      </c>
      <c r="B218" s="4">
        <v>2.3</v>
      </c>
      <c r="C218" s="4">
        <v>1092.03</v>
      </c>
      <c r="D218" s="4">
        <v>5.4</v>
      </c>
      <c r="E218" s="4">
        <v>1140.19</v>
      </c>
      <c r="F218" s="5">
        <f t="shared" si="30"/>
        <v>0.00210616924443468</v>
      </c>
      <c r="G218" s="5">
        <f t="shared" si="31"/>
        <v>0.00473605276313597</v>
      </c>
      <c r="H218" s="5">
        <f t="shared" si="32"/>
        <v>-0.555290164664449</v>
      </c>
      <c r="I218" s="7">
        <f>10*((H218-H219)/(H215-H219))</f>
        <v>0.434586883691355</v>
      </c>
      <c r="J218" s="7">
        <f t="shared" si="33"/>
        <v>0.130376065107407</v>
      </c>
      <c r="K218" s="4"/>
      <c r="L218" s="3"/>
      <c r="M218" s="3" t="s">
        <v>28</v>
      </c>
      <c r="N218" s="4">
        <v>0.003</v>
      </c>
      <c r="O218" s="7">
        <f>10*((N218-N221)/(N215-N221))</f>
        <v>0.357142857142857</v>
      </c>
      <c r="P218" s="6">
        <f t="shared" si="34"/>
        <v>0.25</v>
      </c>
      <c r="Q218" s="4"/>
    </row>
    <row r="219" ht="17.6" spans="1:17">
      <c r="A219" s="3" t="s">
        <v>31</v>
      </c>
      <c r="B219" s="4">
        <v>2.7</v>
      </c>
      <c r="C219" s="4">
        <v>1051.01</v>
      </c>
      <c r="D219" s="4">
        <v>32</v>
      </c>
      <c r="E219" s="4">
        <v>1135.02</v>
      </c>
      <c r="F219" s="20">
        <f t="shared" si="30"/>
        <v>0.00256895747899639</v>
      </c>
      <c r="G219" s="20">
        <f t="shared" si="31"/>
        <v>0.0281933358002502</v>
      </c>
      <c r="H219" s="8">
        <f t="shared" si="32"/>
        <v>-0.908880683818422</v>
      </c>
      <c r="I219" s="6">
        <v>0</v>
      </c>
      <c r="J219" s="7">
        <f t="shared" si="33"/>
        <v>0</v>
      </c>
      <c r="K219" s="4"/>
      <c r="L219" s="3"/>
      <c r="M219" s="3" t="s">
        <v>19</v>
      </c>
      <c r="N219" s="4">
        <v>0.003</v>
      </c>
      <c r="O219" s="7">
        <f>10*((N219-N221)/(N215-N221))</f>
        <v>0.357142857142857</v>
      </c>
      <c r="P219" s="6">
        <f t="shared" si="34"/>
        <v>0.25</v>
      </c>
      <c r="Q219" s="4"/>
    </row>
    <row r="220" ht="17.6" spans="1:17">
      <c r="A220" s="3" t="s">
        <v>28</v>
      </c>
      <c r="B220" s="4">
        <v>28.13</v>
      </c>
      <c r="C220" s="4">
        <v>9002.04</v>
      </c>
      <c r="D220" s="4"/>
      <c r="E220" s="4"/>
      <c r="F220" s="5">
        <f t="shared" si="30"/>
        <v>0.003124847256844</v>
      </c>
      <c r="G220" s="5"/>
      <c r="H220" s="5"/>
      <c r="I220" s="7"/>
      <c r="J220" s="7">
        <f t="shared" si="33"/>
        <v>0</v>
      </c>
      <c r="K220" s="4"/>
      <c r="L220" s="3"/>
      <c r="M220" s="3" t="s">
        <v>31</v>
      </c>
      <c r="N220" s="4">
        <v>0.0026</v>
      </c>
      <c r="O220" s="7">
        <f>10*((N220-N221)/(N215-N221))</f>
        <v>0.214285714285714</v>
      </c>
      <c r="P220" s="4">
        <f t="shared" si="34"/>
        <v>0.15</v>
      </c>
      <c r="Q220" s="4"/>
    </row>
    <row r="221" ht="17.6" spans="1:17">
      <c r="A221" s="3" t="s">
        <v>19</v>
      </c>
      <c r="B221" s="4">
        <v>2.93</v>
      </c>
      <c r="C221" s="4">
        <v>1003.79</v>
      </c>
      <c r="D221" s="4"/>
      <c r="E221" s="4"/>
      <c r="F221" s="5">
        <f t="shared" si="30"/>
        <v>0.00291893722790624</v>
      </c>
      <c r="G221" s="5"/>
      <c r="H221" s="5"/>
      <c r="I221" s="7"/>
      <c r="J221" s="7">
        <f t="shared" si="33"/>
        <v>0</v>
      </c>
      <c r="K221" s="4"/>
      <c r="L221" s="3"/>
      <c r="M221" s="3" t="s">
        <v>14</v>
      </c>
      <c r="N221" s="22">
        <v>0.002</v>
      </c>
      <c r="O221" s="7">
        <v>0</v>
      </c>
      <c r="P221" s="6">
        <f t="shared" si="34"/>
        <v>0</v>
      </c>
      <c r="Q221" s="4"/>
    </row>
    <row r="222" ht="17.6" spans="1:17">
      <c r="A222" s="3" t="s">
        <v>30</v>
      </c>
      <c r="B222" s="4"/>
      <c r="C222" s="4">
        <v>680.89</v>
      </c>
      <c r="D222" s="4"/>
      <c r="E222" s="4"/>
      <c r="F222" s="4"/>
      <c r="G222" s="4"/>
      <c r="H222" s="4"/>
      <c r="I222" s="4"/>
      <c r="J222" s="4"/>
      <c r="K222" s="4"/>
      <c r="L222" s="3"/>
      <c r="M222" s="3" t="s">
        <v>30</v>
      </c>
      <c r="N222" s="7"/>
      <c r="O222" s="7"/>
      <c r="P222" s="4"/>
      <c r="Q222" s="4"/>
    </row>
    <row r="223" ht="17.6" spans="1:17">
      <c r="A223" s="3" t="s">
        <v>25</v>
      </c>
      <c r="B223" s="4"/>
      <c r="C223" s="4">
        <v>818.17</v>
      </c>
      <c r="D223" s="4"/>
      <c r="E223" s="4"/>
      <c r="F223" s="4"/>
      <c r="G223" s="4"/>
      <c r="H223" s="4"/>
      <c r="I223" s="4"/>
      <c r="J223" s="4"/>
      <c r="K223" s="4"/>
      <c r="L223" s="3"/>
      <c r="M223" s="3" t="s">
        <v>25</v>
      </c>
      <c r="N223" s="7"/>
      <c r="O223" s="7"/>
      <c r="P223" s="4"/>
      <c r="Q223" s="4"/>
    </row>
    <row r="224" ht="17.6" spans="1:17">
      <c r="A224" s="3" t="s">
        <v>15</v>
      </c>
      <c r="B224" s="4"/>
      <c r="C224" s="4">
        <v>701.32</v>
      </c>
      <c r="D224" s="4"/>
      <c r="E224" s="4"/>
      <c r="F224" s="5"/>
      <c r="G224" s="5"/>
      <c r="H224" s="5"/>
      <c r="I224" s="7"/>
      <c r="J224" s="7"/>
      <c r="K224" s="4"/>
      <c r="L224" s="3"/>
      <c r="M224" s="3" t="s">
        <v>15</v>
      </c>
      <c r="N224" s="7"/>
      <c r="O224" s="7"/>
      <c r="P224" s="4"/>
      <c r="Q224" s="4"/>
    </row>
    <row r="225" ht="17.6" spans="1:17">
      <c r="A225" s="3" t="s">
        <v>16</v>
      </c>
      <c r="B225" s="4"/>
      <c r="C225" s="4">
        <v>272.44</v>
      </c>
      <c r="D225" s="4"/>
      <c r="E225" s="4"/>
      <c r="F225" s="5"/>
      <c r="G225" s="5"/>
      <c r="H225" s="5"/>
      <c r="I225" s="7"/>
      <c r="J225" s="7"/>
      <c r="K225" s="4"/>
      <c r="L225" s="3"/>
      <c r="M225" s="3" t="s">
        <v>16</v>
      </c>
      <c r="N225" s="7"/>
      <c r="O225" s="7"/>
      <c r="P225" s="4"/>
      <c r="Q225" s="4"/>
    </row>
    <row r="226" ht="17.6" spans="1:17">
      <c r="A226" s="3" t="s">
        <v>29</v>
      </c>
      <c r="B226" s="4"/>
      <c r="C226" s="4">
        <v>1446.85</v>
      </c>
      <c r="D226" s="4"/>
      <c r="E226" s="4"/>
      <c r="F226" s="5"/>
      <c r="G226" s="5"/>
      <c r="H226" s="5"/>
      <c r="I226" s="7"/>
      <c r="J226" s="7"/>
      <c r="K226" s="4"/>
      <c r="L226" s="3"/>
      <c r="M226" s="3" t="s">
        <v>29</v>
      </c>
      <c r="N226" s="7"/>
      <c r="O226" s="7"/>
      <c r="P226" s="4"/>
      <c r="Q226" s="4"/>
    </row>
    <row r="227" ht="17.6" spans="1:17">
      <c r="A227" s="3" t="s">
        <v>23</v>
      </c>
      <c r="B227" s="4"/>
      <c r="C227" s="4">
        <v>820.94</v>
      </c>
      <c r="D227" s="4"/>
      <c r="E227" s="4"/>
      <c r="F227" s="5"/>
      <c r="G227" s="5"/>
      <c r="H227" s="5"/>
      <c r="I227" s="7"/>
      <c r="J227" s="7"/>
      <c r="K227" s="4"/>
      <c r="L227" s="3"/>
      <c r="M227" s="3" t="s">
        <v>23</v>
      </c>
      <c r="N227" s="7"/>
      <c r="O227" s="7"/>
      <c r="P227" s="4"/>
      <c r="Q227" s="4"/>
    </row>
    <row r="228" ht="17.6" spans="1:17">
      <c r="A228" s="3" t="s">
        <v>21</v>
      </c>
      <c r="B228" s="4"/>
      <c r="C228" s="4">
        <v>1216.17</v>
      </c>
      <c r="D228" s="4"/>
      <c r="E228" s="4"/>
      <c r="F228" s="5"/>
      <c r="G228" s="5"/>
      <c r="H228" s="5"/>
      <c r="I228" s="7"/>
      <c r="J228" s="7"/>
      <c r="K228" s="4"/>
      <c r="L228" s="3"/>
      <c r="M228" s="3" t="s">
        <v>21</v>
      </c>
      <c r="N228" s="7"/>
      <c r="O228" s="7"/>
      <c r="P228" s="4"/>
      <c r="Q228" s="4"/>
    </row>
    <row r="229" ht="17.6" spans="1:17">
      <c r="A229" s="3" t="s">
        <v>27</v>
      </c>
      <c r="B229" s="4"/>
      <c r="C229" s="4"/>
      <c r="D229" s="4"/>
      <c r="E229" s="4"/>
      <c r="F229" s="5"/>
      <c r="G229" s="5"/>
      <c r="H229" s="5"/>
      <c r="I229" s="7"/>
      <c r="J229" s="7"/>
      <c r="K229" s="4"/>
      <c r="L229" s="3"/>
      <c r="M229" s="3" t="s">
        <v>27</v>
      </c>
      <c r="N229" s="4"/>
      <c r="O229" s="7"/>
      <c r="P229" s="4"/>
      <c r="Q229" s="4"/>
    </row>
    <row r="230" ht="17.6" spans="1:17">
      <c r="A230" s="4" t="s">
        <v>32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 t="s">
        <v>32</v>
      </c>
      <c r="N230" s="4"/>
      <c r="O230" s="4"/>
      <c r="P230" s="4"/>
      <c r="Q230" s="4"/>
    </row>
    <row r="231" ht="17.6" spans="1:17">
      <c r="A231" s="4" t="s">
        <v>17</v>
      </c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 t="s">
        <v>17</v>
      </c>
      <c r="N231" s="4"/>
      <c r="O231" s="4"/>
      <c r="P231" s="4"/>
      <c r="Q231" s="4"/>
    </row>
    <row r="232" ht="17.6" spans="1:17">
      <c r="A232" s="4" t="s">
        <v>33</v>
      </c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 t="s">
        <v>33</v>
      </c>
      <c r="N232" s="4"/>
      <c r="O232" s="4"/>
      <c r="P232" s="4"/>
      <c r="Q232" s="4"/>
    </row>
    <row r="233" ht="17.6" spans="1:17">
      <c r="A233" s="4" t="s">
        <v>26</v>
      </c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 t="s">
        <v>26</v>
      </c>
      <c r="N233" s="4"/>
      <c r="O233" s="4"/>
      <c r="P233" s="4"/>
      <c r="Q233" s="4"/>
    </row>
    <row r="234" ht="17.6" spans="1:17">
      <c r="A234" s="4" t="s">
        <v>18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 t="s">
        <v>18</v>
      </c>
      <c r="N234" s="4"/>
      <c r="O234" s="4"/>
      <c r="P234" s="4"/>
      <c r="Q234" s="4"/>
    </row>
    <row r="235" ht="17.6" spans="1:17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 ht="17.6" spans="1:17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 ht="17.6" spans="1:1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 ht="17.6" spans="1:17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 ht="17.6" spans="1:17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 ht="17.6" spans="1:17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 ht="17.6" spans="1:17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 ht="17.6" spans="1:17">
      <c r="A242" s="10" t="s">
        <v>79</v>
      </c>
      <c r="B242" s="10"/>
      <c r="C242" s="15" t="s">
        <v>80</v>
      </c>
      <c r="D242" s="15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 ht="17.6" spans="1:17">
      <c r="A243" s="3" t="s">
        <v>2</v>
      </c>
      <c r="B243" s="4" t="s">
        <v>81</v>
      </c>
      <c r="C243" s="4" t="s">
        <v>72</v>
      </c>
      <c r="D243" s="4" t="s">
        <v>82</v>
      </c>
      <c r="E243" s="4" t="s">
        <v>36</v>
      </c>
      <c r="F243" s="4" t="s">
        <v>45</v>
      </c>
      <c r="G243" s="4" t="s">
        <v>78</v>
      </c>
      <c r="H243" s="4" t="s">
        <v>9</v>
      </c>
      <c r="I243" s="4" t="s">
        <v>10</v>
      </c>
      <c r="J243" s="4" t="s">
        <v>11</v>
      </c>
      <c r="K243" s="4"/>
      <c r="L243" s="3" t="s">
        <v>2</v>
      </c>
      <c r="M243" s="4" t="s">
        <v>45</v>
      </c>
      <c r="N243" s="4" t="s">
        <v>12</v>
      </c>
      <c r="O243" s="4" t="s">
        <v>13</v>
      </c>
      <c r="P243" s="4"/>
      <c r="Q243" s="4"/>
    </row>
    <row r="244" ht="17.6" spans="1:17">
      <c r="A244" s="4" t="s">
        <v>26</v>
      </c>
      <c r="B244" s="4">
        <v>21.17</v>
      </c>
      <c r="C244" s="4">
        <v>418.04</v>
      </c>
      <c r="D244" s="4">
        <v>3</v>
      </c>
      <c r="E244" s="4">
        <v>711.43</v>
      </c>
      <c r="F244" s="8">
        <f t="shared" ref="F244:F262" si="35">B244/C244</f>
        <v>0.0506410869773227</v>
      </c>
      <c r="G244" s="8">
        <f t="shared" ref="G244:G262" si="36">D244/E244</f>
        <v>0.00421685900229116</v>
      </c>
      <c r="H244" s="8">
        <f t="shared" ref="H244:H262" si="37">(F244-G244)/G244</f>
        <v>11.0091961694256</v>
      </c>
      <c r="I244" s="4">
        <v>10</v>
      </c>
      <c r="J244" s="4">
        <f t="shared" ref="J244:J262" si="38">I244*0.3</f>
        <v>3</v>
      </c>
      <c r="K244" s="4"/>
      <c r="L244" s="4" t="s">
        <v>33</v>
      </c>
      <c r="M244" s="4">
        <v>0.063</v>
      </c>
      <c r="N244" s="4">
        <v>10</v>
      </c>
      <c r="O244" s="4">
        <f t="shared" ref="O244:O262" si="39">N244*0.7</f>
        <v>7</v>
      </c>
      <c r="P244" s="4"/>
      <c r="Q244" s="4"/>
    </row>
    <row r="245" ht="17.6" spans="1:17">
      <c r="A245" s="3" t="s">
        <v>23</v>
      </c>
      <c r="B245" s="4">
        <v>11.72</v>
      </c>
      <c r="C245" s="4">
        <v>820.94</v>
      </c>
      <c r="D245" s="4">
        <v>4.2</v>
      </c>
      <c r="E245" s="4">
        <v>904.75</v>
      </c>
      <c r="F245" s="5">
        <f t="shared" si="35"/>
        <v>0.0142763173922577</v>
      </c>
      <c r="G245" s="5">
        <f t="shared" si="36"/>
        <v>0.004642166344294</v>
      </c>
      <c r="H245" s="5">
        <f t="shared" si="37"/>
        <v>2.0753567049155</v>
      </c>
      <c r="I245" s="7">
        <v>10</v>
      </c>
      <c r="J245" s="7">
        <f t="shared" si="38"/>
        <v>3</v>
      </c>
      <c r="K245" s="4"/>
      <c r="L245" s="3" t="s">
        <v>30</v>
      </c>
      <c r="M245" s="4">
        <v>0.055</v>
      </c>
      <c r="N245" s="4">
        <v>10</v>
      </c>
      <c r="O245" s="7">
        <f t="shared" si="39"/>
        <v>7</v>
      </c>
      <c r="P245" s="4"/>
      <c r="Q245" s="4"/>
    </row>
    <row r="246" ht="17.6" spans="1:17">
      <c r="A246" s="4" t="s">
        <v>33</v>
      </c>
      <c r="B246" s="4">
        <v>11.47</v>
      </c>
      <c r="C246" s="4">
        <v>180.97</v>
      </c>
      <c r="D246" s="4">
        <v>4.59</v>
      </c>
      <c r="E246" s="4">
        <v>203.21</v>
      </c>
      <c r="F246" s="8">
        <f t="shared" si="35"/>
        <v>0.0633806708294192</v>
      </c>
      <c r="G246" s="8">
        <f t="shared" si="36"/>
        <v>0.0225874710890212</v>
      </c>
      <c r="H246" s="8">
        <f t="shared" si="37"/>
        <v>1.80601004776608</v>
      </c>
      <c r="I246" s="6">
        <f>10*((H246-H262)/(H245-H262))</f>
        <v>9.100880693949</v>
      </c>
      <c r="J246" s="6">
        <f t="shared" si="38"/>
        <v>2.7302642081847</v>
      </c>
      <c r="K246" s="4"/>
      <c r="L246" s="3" t="s">
        <v>31</v>
      </c>
      <c r="M246" s="4">
        <v>0.053</v>
      </c>
      <c r="N246" s="6">
        <f>10*((M246-M262)/(M245-M262))</f>
        <v>9.62962962962963</v>
      </c>
      <c r="O246" s="7">
        <f t="shared" si="39"/>
        <v>6.74074074074074</v>
      </c>
      <c r="P246" s="4"/>
      <c r="Q246" s="4"/>
    </row>
    <row r="247" ht="17.6" spans="1:17">
      <c r="A247" s="3" t="s">
        <v>29</v>
      </c>
      <c r="B247" s="4">
        <v>39</v>
      </c>
      <c r="C247" s="4">
        <v>1446.85</v>
      </c>
      <c r="D247" s="4">
        <v>19</v>
      </c>
      <c r="E247" s="4">
        <v>1644.65</v>
      </c>
      <c r="F247" s="5">
        <f t="shared" si="35"/>
        <v>0.02695510937554</v>
      </c>
      <c r="G247" s="5">
        <f t="shared" si="36"/>
        <v>0.0115526099778068</v>
      </c>
      <c r="H247" s="5">
        <f t="shared" si="37"/>
        <v>1.33324845444641</v>
      </c>
      <c r="I247" s="7">
        <f>10*((H247-H262)/(H245-H262))</f>
        <v>7.5227319980945</v>
      </c>
      <c r="J247" s="7">
        <f t="shared" si="38"/>
        <v>2.25681959942835</v>
      </c>
      <c r="K247" s="4"/>
      <c r="L247" s="4" t="s">
        <v>26</v>
      </c>
      <c r="M247" s="4">
        <v>0.051</v>
      </c>
      <c r="N247" s="6">
        <f>10*((M247-M262)/(M245-M262))</f>
        <v>9.25925925925926</v>
      </c>
      <c r="O247" s="6">
        <f t="shared" si="39"/>
        <v>6.48148148148148</v>
      </c>
      <c r="P247" s="4"/>
      <c r="Q247" s="4"/>
    </row>
    <row r="248" ht="17.6" spans="1:17">
      <c r="A248" s="3" t="s">
        <v>14</v>
      </c>
      <c r="B248" s="4">
        <v>4.5</v>
      </c>
      <c r="C248" s="4">
        <v>1092.03</v>
      </c>
      <c r="D248" s="4">
        <v>3.1</v>
      </c>
      <c r="E248" s="4">
        <v>1140.19</v>
      </c>
      <c r="F248" s="5">
        <f t="shared" si="35"/>
        <v>0.00412076591302437</v>
      </c>
      <c r="G248" s="5">
        <f t="shared" si="36"/>
        <v>0.00271884510476324</v>
      </c>
      <c r="H248" s="5">
        <f t="shared" si="37"/>
        <v>0.51563099560363</v>
      </c>
      <c r="I248" s="7">
        <f>10*((H248-H262)/(H245-H262))</f>
        <v>4.79340299884108</v>
      </c>
      <c r="J248" s="7">
        <f t="shared" si="38"/>
        <v>1.43802089965232</v>
      </c>
      <c r="K248" s="4"/>
      <c r="L248" s="3" t="s">
        <v>15</v>
      </c>
      <c r="M248" s="4">
        <v>0.046</v>
      </c>
      <c r="N248" s="7">
        <f>10*((M248-M262)/(M245-M262))</f>
        <v>8.33333333333333</v>
      </c>
      <c r="O248" s="7">
        <f t="shared" si="39"/>
        <v>5.83333333333333</v>
      </c>
      <c r="P248" s="4"/>
      <c r="Q248" s="4"/>
    </row>
    <row r="249" ht="17.6" spans="1:17">
      <c r="A249" s="3" t="s">
        <v>15</v>
      </c>
      <c r="B249" s="4">
        <v>31.93</v>
      </c>
      <c r="C249" s="4">
        <v>701.32</v>
      </c>
      <c r="D249" s="4">
        <v>24.7</v>
      </c>
      <c r="E249" s="4">
        <v>796.65</v>
      </c>
      <c r="F249" s="5">
        <f t="shared" si="35"/>
        <v>0.0455284320994696</v>
      </c>
      <c r="G249" s="5">
        <f t="shared" si="36"/>
        <v>0.0310048327370866</v>
      </c>
      <c r="H249" s="5">
        <f t="shared" si="37"/>
        <v>0.468430179434916</v>
      </c>
      <c r="I249" s="7">
        <f>10*((H249-H262)/(H245-H262))</f>
        <v>4.6358396359696</v>
      </c>
      <c r="J249" s="7">
        <f t="shared" si="38"/>
        <v>1.39075189079088</v>
      </c>
      <c r="K249" s="4"/>
      <c r="L249" s="3" t="s">
        <v>25</v>
      </c>
      <c r="M249" s="4">
        <v>0.045</v>
      </c>
      <c r="N249" s="7">
        <f>10*((M249-M262)/(M245-M262))</f>
        <v>8.14814814814815</v>
      </c>
      <c r="O249" s="7">
        <f t="shared" si="39"/>
        <v>5.7037037037037</v>
      </c>
      <c r="P249" s="4"/>
      <c r="Q249" s="4"/>
    </row>
    <row r="250" ht="17.6" spans="1:17">
      <c r="A250" s="3" t="s">
        <v>19</v>
      </c>
      <c r="B250" s="4">
        <v>4.55</v>
      </c>
      <c r="C250" s="4">
        <v>1003.79</v>
      </c>
      <c r="D250" s="4">
        <v>3.97</v>
      </c>
      <c r="E250" s="4">
        <v>1056.18</v>
      </c>
      <c r="F250" s="5">
        <f t="shared" si="35"/>
        <v>0.00453282060988852</v>
      </c>
      <c r="G250" s="5">
        <f t="shared" si="36"/>
        <v>0.00375882898748319</v>
      </c>
      <c r="H250" s="5">
        <f t="shared" si="37"/>
        <v>0.205912965176841</v>
      </c>
      <c r="I250" s="7">
        <f>10*((H250-H262)/(H245-H262))</f>
        <v>3.75951802868411</v>
      </c>
      <c r="J250" s="7">
        <f t="shared" si="38"/>
        <v>1.12785540860523</v>
      </c>
      <c r="K250" s="4"/>
      <c r="L250" s="3" t="s">
        <v>16</v>
      </c>
      <c r="M250" s="4">
        <v>0.033</v>
      </c>
      <c r="N250" s="7">
        <f>10*((M250-M262)/(M245-M262))</f>
        <v>5.92592592592593</v>
      </c>
      <c r="O250" s="7">
        <f t="shared" si="39"/>
        <v>4.14814814814815</v>
      </c>
      <c r="P250" s="4"/>
      <c r="Q250" s="4"/>
    </row>
    <row r="251" ht="17.6" spans="1:17">
      <c r="A251" s="3" t="s">
        <v>21</v>
      </c>
      <c r="B251" s="4">
        <v>18.1</v>
      </c>
      <c r="C251" s="4">
        <v>1216.17</v>
      </c>
      <c r="D251" s="4">
        <v>16.1</v>
      </c>
      <c r="E251" s="4">
        <v>1227.44</v>
      </c>
      <c r="F251" s="5">
        <f t="shared" si="35"/>
        <v>0.0148827877681574</v>
      </c>
      <c r="G251" s="5">
        <f t="shared" si="36"/>
        <v>0.0131167307566969</v>
      </c>
      <c r="H251" s="5">
        <f t="shared" si="37"/>
        <v>0.134641553922182</v>
      </c>
      <c r="I251" s="7">
        <f>10*((H251-H262)/(H245-H262))</f>
        <v>3.52160343005216</v>
      </c>
      <c r="J251" s="7">
        <f t="shared" si="38"/>
        <v>1.05648102901565</v>
      </c>
      <c r="K251" s="4"/>
      <c r="L251" s="3" t="s">
        <v>20</v>
      </c>
      <c r="M251" s="4">
        <v>0.031</v>
      </c>
      <c r="N251" s="7">
        <f>10*((M251-M262)/(M245-M262))</f>
        <v>5.55555555555556</v>
      </c>
      <c r="O251" s="7">
        <f t="shared" si="39"/>
        <v>3.88888888888889</v>
      </c>
      <c r="P251" s="4"/>
      <c r="Q251" s="4"/>
    </row>
    <row r="252" ht="17.6" spans="1:17">
      <c r="A252" s="3" t="s">
        <v>25</v>
      </c>
      <c r="B252" s="4">
        <v>36.44</v>
      </c>
      <c r="C252" s="4">
        <v>818.17</v>
      </c>
      <c r="D252" s="4">
        <v>33.83</v>
      </c>
      <c r="E252" s="4">
        <v>816.14</v>
      </c>
      <c r="F252" s="5">
        <f t="shared" si="35"/>
        <v>0.0445384211105272</v>
      </c>
      <c r="G252" s="5">
        <f t="shared" si="36"/>
        <v>0.0414512216041365</v>
      </c>
      <c r="H252" s="5">
        <f t="shared" si="37"/>
        <v>0.0744778895993388</v>
      </c>
      <c r="I252" s="7">
        <f>10*((H252-H262)/(H245-H262))</f>
        <v>3.32076814704573</v>
      </c>
      <c r="J252" s="7">
        <f t="shared" si="38"/>
        <v>0.99623044411372</v>
      </c>
      <c r="K252" s="4"/>
      <c r="L252" s="3" t="s">
        <v>29</v>
      </c>
      <c r="M252" s="4">
        <v>0.027</v>
      </c>
      <c r="N252" s="7">
        <f>10*((M252-M262)/(M245-M262))</f>
        <v>4.81481481481481</v>
      </c>
      <c r="O252" s="7">
        <f t="shared" si="39"/>
        <v>3.37037037037037</v>
      </c>
      <c r="P252" s="4"/>
      <c r="Q252" s="4"/>
    </row>
    <row r="253" ht="17.6" spans="1:17">
      <c r="A253" s="3" t="s">
        <v>20</v>
      </c>
      <c r="B253" s="4">
        <v>100.76</v>
      </c>
      <c r="C253" s="4">
        <v>3221.16</v>
      </c>
      <c r="D253" s="4">
        <v>108.67</v>
      </c>
      <c r="E253" s="4">
        <v>3448.68</v>
      </c>
      <c r="F253" s="5">
        <f t="shared" si="35"/>
        <v>0.03128065665785</v>
      </c>
      <c r="G253" s="5">
        <f t="shared" si="36"/>
        <v>0.0315106069568647</v>
      </c>
      <c r="H253" s="5">
        <f t="shared" si="37"/>
        <v>-0.00729755219661335</v>
      </c>
      <c r="I253" s="7">
        <f>10*((H253-H262)/(H245-H262))</f>
        <v>3.04778952812491</v>
      </c>
      <c r="J253" s="7">
        <f t="shared" si="38"/>
        <v>0.914336858437474</v>
      </c>
      <c r="K253" s="4"/>
      <c r="L253" s="4" t="s">
        <v>17</v>
      </c>
      <c r="M253" s="4">
        <v>0.023</v>
      </c>
      <c r="N253" s="6">
        <f>10*((M253-M262)/(M245-M262))</f>
        <v>4.07407407407407</v>
      </c>
      <c r="O253" s="6">
        <f t="shared" si="39"/>
        <v>2.85185185185185</v>
      </c>
      <c r="P253" s="4"/>
      <c r="Q253" s="4"/>
    </row>
    <row r="254" ht="17.6" spans="1:17">
      <c r="A254" s="3" t="s">
        <v>16</v>
      </c>
      <c r="B254" s="4">
        <v>8.87</v>
      </c>
      <c r="C254" s="4">
        <v>272.44</v>
      </c>
      <c r="D254" s="4">
        <v>14.98</v>
      </c>
      <c r="E254" s="4">
        <v>393.18</v>
      </c>
      <c r="F254" s="5">
        <f t="shared" si="35"/>
        <v>0.0325576273674938</v>
      </c>
      <c r="G254" s="5">
        <f t="shared" si="36"/>
        <v>0.0380995981484307</v>
      </c>
      <c r="H254" s="5">
        <f t="shared" si="37"/>
        <v>-0.145460084889773</v>
      </c>
      <c r="I254" s="7">
        <f>10*((H254-H262)/(H245-H262))</f>
        <v>2.58658239144824</v>
      </c>
      <c r="J254" s="7">
        <f t="shared" si="38"/>
        <v>0.775974717434471</v>
      </c>
      <c r="K254" s="4"/>
      <c r="L254" s="3" t="s">
        <v>21</v>
      </c>
      <c r="M254" s="4">
        <v>0.015</v>
      </c>
      <c r="N254" s="7">
        <f>10*((M254-M262)/(M245-M262))</f>
        <v>2.59259259259259</v>
      </c>
      <c r="O254" s="7">
        <f t="shared" si="39"/>
        <v>1.81481481481481</v>
      </c>
      <c r="P254" s="4"/>
      <c r="Q254" s="4"/>
    </row>
    <row r="255" ht="17.6" spans="1:17">
      <c r="A255" s="3" t="s">
        <v>31</v>
      </c>
      <c r="B255" s="4">
        <v>55.97</v>
      </c>
      <c r="C255" s="4">
        <v>1051.01</v>
      </c>
      <c r="D255" s="4">
        <v>73.06</v>
      </c>
      <c r="E255" s="4">
        <v>1135.02</v>
      </c>
      <c r="F255" s="5">
        <f t="shared" si="35"/>
        <v>0.0532535370738623</v>
      </c>
      <c r="G255" s="5">
        <f t="shared" si="36"/>
        <v>0.0643689097989463</v>
      </c>
      <c r="H255" s="5">
        <f t="shared" si="37"/>
        <v>-0.172682320701134</v>
      </c>
      <c r="I255" s="7">
        <f>10*((H255-H262)/(H245-H262))</f>
        <v>2.49571050897936</v>
      </c>
      <c r="J255" s="7">
        <f t="shared" si="38"/>
        <v>0.748713152693808</v>
      </c>
      <c r="K255" s="4"/>
      <c r="L255" s="3" t="s">
        <v>23</v>
      </c>
      <c r="M255" s="4">
        <v>0.014</v>
      </c>
      <c r="N255" s="7">
        <f>10*((M255-M262)/(M245-M262))</f>
        <v>2.40740740740741</v>
      </c>
      <c r="O255" s="7">
        <f t="shared" si="39"/>
        <v>1.68518518518519</v>
      </c>
      <c r="P255" s="4"/>
      <c r="Q255" s="4"/>
    </row>
    <row r="256" ht="17.6" spans="1:17">
      <c r="A256" s="4" t="s">
        <v>17</v>
      </c>
      <c r="B256" s="4">
        <v>14.56</v>
      </c>
      <c r="C256" s="4">
        <v>636.64</v>
      </c>
      <c r="D256" s="4">
        <v>15.52</v>
      </c>
      <c r="E256" s="4">
        <v>558.27</v>
      </c>
      <c r="F256" s="8">
        <f t="shared" si="35"/>
        <v>0.0228700678562453</v>
      </c>
      <c r="G256" s="8">
        <f t="shared" si="36"/>
        <v>0.0278001683773085</v>
      </c>
      <c r="H256" s="8">
        <f t="shared" si="37"/>
        <v>-0.177340671256053</v>
      </c>
      <c r="I256" s="6">
        <f>10*((H256-H262)/(H245-H262))</f>
        <v>2.48016024018223</v>
      </c>
      <c r="J256" s="6">
        <f t="shared" si="38"/>
        <v>0.74404807205467</v>
      </c>
      <c r="K256" s="4"/>
      <c r="L256" s="4" t="s">
        <v>18</v>
      </c>
      <c r="M256" s="4">
        <v>0.012</v>
      </c>
      <c r="N256" s="6">
        <f>10*((M256-M262)/(M245-M262))</f>
        <v>2.03703703703704</v>
      </c>
      <c r="O256" s="6">
        <f t="shared" si="39"/>
        <v>1.42592592592593</v>
      </c>
      <c r="P256" s="4"/>
      <c r="Q256" s="4"/>
    </row>
    <row r="257" ht="17.6" spans="1:17">
      <c r="A257" s="3" t="s">
        <v>30</v>
      </c>
      <c r="B257" s="4">
        <v>37.71</v>
      </c>
      <c r="C257" s="4">
        <v>680.89</v>
      </c>
      <c r="D257" s="4">
        <v>56.6</v>
      </c>
      <c r="E257" s="4">
        <v>705.65</v>
      </c>
      <c r="F257" s="5">
        <f t="shared" si="35"/>
        <v>0.0553833952620835</v>
      </c>
      <c r="G257" s="5">
        <f t="shared" si="36"/>
        <v>0.0802097357046695</v>
      </c>
      <c r="H257" s="5">
        <f t="shared" si="37"/>
        <v>-0.309517793874749</v>
      </c>
      <c r="I257" s="7">
        <f>10*((H257-H262)/(H245-H262))</f>
        <v>2.03893329486764</v>
      </c>
      <c r="J257" s="7">
        <f t="shared" si="38"/>
        <v>0.611679988460291</v>
      </c>
      <c r="K257" s="4"/>
      <c r="L257" s="3" t="s">
        <v>19</v>
      </c>
      <c r="M257" s="4">
        <v>0.005</v>
      </c>
      <c r="N257" s="7">
        <f>10*((M257-M262)/(M245-M262))</f>
        <v>0.740740740740741</v>
      </c>
      <c r="O257" s="7">
        <f t="shared" si="39"/>
        <v>0.518518518518518</v>
      </c>
      <c r="P257" s="4"/>
      <c r="Q257" s="4"/>
    </row>
    <row r="258" ht="17.6" spans="1:17">
      <c r="A258" s="3" t="s">
        <v>28</v>
      </c>
      <c r="B258" s="4">
        <v>45.77</v>
      </c>
      <c r="C258" s="4">
        <v>9002.04</v>
      </c>
      <c r="D258" s="4">
        <v>155.97</v>
      </c>
      <c r="E258" s="4">
        <v>11129.72</v>
      </c>
      <c r="F258" s="5">
        <f t="shared" si="35"/>
        <v>0.00508440309085496</v>
      </c>
      <c r="G258" s="5">
        <f t="shared" si="36"/>
        <v>0.0140138296381221</v>
      </c>
      <c r="H258" s="5">
        <f t="shared" si="37"/>
        <v>-0.637186748936653</v>
      </c>
      <c r="I258" s="7">
        <f>10*((H258-H262)/(H245-H262))</f>
        <v>0.945125461469251</v>
      </c>
      <c r="J258" s="7">
        <f t="shared" si="38"/>
        <v>0.283537638440775</v>
      </c>
      <c r="K258" s="4"/>
      <c r="L258" s="3" t="s">
        <v>28</v>
      </c>
      <c r="M258" s="4">
        <v>0.005</v>
      </c>
      <c r="N258" s="7">
        <f>10*((M258-M262)/(M245-M262))</f>
        <v>0.740740740740741</v>
      </c>
      <c r="O258" s="7">
        <f t="shared" si="39"/>
        <v>0.518518518518518</v>
      </c>
      <c r="P258" s="4"/>
      <c r="Q258" s="4"/>
    </row>
    <row r="259" ht="17.6" spans="1:17">
      <c r="A259" s="4" t="s">
        <v>24</v>
      </c>
      <c r="B259" s="4">
        <v>2.68</v>
      </c>
      <c r="C259" s="4">
        <v>1083.11</v>
      </c>
      <c r="D259" s="4">
        <v>8.38</v>
      </c>
      <c r="E259" s="4">
        <v>1137.61</v>
      </c>
      <c r="F259" s="8">
        <f t="shared" si="35"/>
        <v>0.00247435625190424</v>
      </c>
      <c r="G259" s="8">
        <f t="shared" si="36"/>
        <v>0.00736632061954449</v>
      </c>
      <c r="H259" s="8">
        <f t="shared" si="37"/>
        <v>-0.664098757072938</v>
      </c>
      <c r="I259" s="6">
        <f>10*((H259-H262)/(H245-H262))</f>
        <v>0.855289165240367</v>
      </c>
      <c r="J259" s="6">
        <f t="shared" si="38"/>
        <v>0.25658674957211</v>
      </c>
      <c r="K259" s="4"/>
      <c r="L259" s="3" t="s">
        <v>14</v>
      </c>
      <c r="M259" s="4">
        <v>0.004</v>
      </c>
      <c r="N259" s="6">
        <f>10*((M259-M262)/(M245-M262))</f>
        <v>0.555555555555556</v>
      </c>
      <c r="O259" s="7">
        <f t="shared" si="39"/>
        <v>0.388888888888889</v>
      </c>
      <c r="P259" s="4"/>
      <c r="Q259" s="4"/>
    </row>
    <row r="260" ht="17.6" spans="1:17">
      <c r="A260" s="4" t="s">
        <v>27</v>
      </c>
      <c r="B260" s="4">
        <v>2.34</v>
      </c>
      <c r="C260" s="4">
        <v>618.11</v>
      </c>
      <c r="D260" s="4">
        <v>9.27</v>
      </c>
      <c r="E260" s="4">
        <v>725.43</v>
      </c>
      <c r="F260" s="8">
        <f t="shared" si="35"/>
        <v>0.00378573393085373</v>
      </c>
      <c r="G260" s="8">
        <f t="shared" si="36"/>
        <v>0.0127786278483107</v>
      </c>
      <c r="H260" s="8">
        <f t="shared" si="37"/>
        <v>-0.703744879669987</v>
      </c>
      <c r="I260" s="6">
        <f>10*((H260-H262)/(H245-H262))</f>
        <v>0.722944496053345</v>
      </c>
      <c r="J260" s="6">
        <f t="shared" si="38"/>
        <v>0.216883348816003</v>
      </c>
      <c r="K260" s="4"/>
      <c r="L260" s="4" t="s">
        <v>27</v>
      </c>
      <c r="M260" s="4">
        <v>0.004</v>
      </c>
      <c r="N260" s="6">
        <f>10*((M260-M262)/(M245-M262))</f>
        <v>0.555555555555556</v>
      </c>
      <c r="O260" s="6">
        <f t="shared" si="39"/>
        <v>0.388888888888889</v>
      </c>
      <c r="P260" s="4"/>
      <c r="Q260" s="4"/>
    </row>
    <row r="261" ht="17.6" spans="1:17">
      <c r="A261" s="4" t="s">
        <v>18</v>
      </c>
      <c r="B261" s="4">
        <v>2.15</v>
      </c>
      <c r="C261" s="4">
        <v>186.69</v>
      </c>
      <c r="D261" s="4">
        <v>19.3</v>
      </c>
      <c r="E261" s="4">
        <v>229.71</v>
      </c>
      <c r="F261" s="8">
        <f t="shared" si="35"/>
        <v>0.0115164175906583</v>
      </c>
      <c r="G261" s="8">
        <f t="shared" si="36"/>
        <v>0.0840189804536154</v>
      </c>
      <c r="H261" s="8">
        <f t="shared" si="37"/>
        <v>-0.86293076244818</v>
      </c>
      <c r="I261" s="6">
        <f>10*((H261-H262)/(H245-H262))</f>
        <v>0.191558281828897</v>
      </c>
      <c r="J261" s="6">
        <f t="shared" si="38"/>
        <v>0.0574674845486692</v>
      </c>
      <c r="K261" s="4"/>
      <c r="L261" s="4" t="s">
        <v>24</v>
      </c>
      <c r="M261" s="4">
        <v>0.002</v>
      </c>
      <c r="N261" s="6">
        <f>10*((M261-M262)/(M245-M262))</f>
        <v>0.185185185185185</v>
      </c>
      <c r="O261" s="6">
        <f t="shared" si="39"/>
        <v>0.12962962962963</v>
      </c>
      <c r="P261" s="4"/>
      <c r="Q261" s="4"/>
    </row>
    <row r="262" ht="17.6" spans="1:17">
      <c r="A262" s="4" t="s">
        <v>22</v>
      </c>
      <c r="B262" s="4">
        <v>0.44</v>
      </c>
      <c r="C262" s="4">
        <v>311.76</v>
      </c>
      <c r="D262" s="4">
        <v>6.91</v>
      </c>
      <c r="E262" s="4">
        <v>390.14</v>
      </c>
      <c r="F262" s="8">
        <f t="shared" si="35"/>
        <v>0.00141134205799333</v>
      </c>
      <c r="G262" s="8">
        <f t="shared" si="36"/>
        <v>0.0177115907110268</v>
      </c>
      <c r="H262" s="8">
        <f t="shared" si="37"/>
        <v>-0.920315341460851</v>
      </c>
      <c r="I262" s="4">
        <v>0</v>
      </c>
      <c r="J262" s="4">
        <f t="shared" si="38"/>
        <v>0</v>
      </c>
      <c r="K262" s="4"/>
      <c r="L262" s="4" t="s">
        <v>22</v>
      </c>
      <c r="M262" s="4">
        <v>0.001</v>
      </c>
      <c r="N262" s="4">
        <v>0</v>
      </c>
      <c r="O262" s="4">
        <f t="shared" si="39"/>
        <v>0</v>
      </c>
      <c r="P262" s="4"/>
      <c r="Q262" s="4"/>
    </row>
    <row r="263" ht="17.6" spans="1:17">
      <c r="A263" s="4" t="s">
        <v>32</v>
      </c>
      <c r="B263" s="4"/>
      <c r="C263" s="4"/>
      <c r="D263" s="4"/>
      <c r="E263" s="4"/>
      <c r="F263" s="8"/>
      <c r="G263" s="8"/>
      <c r="H263" s="8"/>
      <c r="I263" s="4"/>
      <c r="J263" s="4">
        <v>0</v>
      </c>
      <c r="K263" s="4"/>
      <c r="L263" s="4" t="s">
        <v>32</v>
      </c>
      <c r="M263" s="4"/>
      <c r="N263" s="4"/>
      <c r="O263" s="4">
        <v>0</v>
      </c>
      <c r="P263" s="4"/>
      <c r="Q263" s="4"/>
    </row>
    <row r="264" ht="17.6" spans="1:17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70" spans="1:17">
      <c r="A270" s="1" t="s">
        <v>83</v>
      </c>
      <c r="B270" s="1"/>
      <c r="C270" s="2" t="s">
        <v>84</v>
      </c>
      <c r="D270" s="2"/>
    </row>
    <row r="271" ht="17.6" spans="1:17">
      <c r="A271" s="3" t="s">
        <v>2</v>
      </c>
      <c r="B271" s="4" t="s">
        <v>85</v>
      </c>
      <c r="C271" s="4" t="s">
        <v>86</v>
      </c>
      <c r="D271" s="4" t="s">
        <v>87</v>
      </c>
      <c r="E271" s="4" t="s">
        <v>6</v>
      </c>
      <c r="F271" s="4" t="s">
        <v>45</v>
      </c>
      <c r="G271" s="4" t="s">
        <v>46</v>
      </c>
      <c r="H271" s="4" t="s">
        <v>47</v>
      </c>
      <c r="I271" s="4" t="s">
        <v>10</v>
      </c>
      <c r="J271" s="4" t="s">
        <v>48</v>
      </c>
      <c r="K271" s="4"/>
      <c r="L271" s="4"/>
      <c r="M271" s="3" t="s">
        <v>2</v>
      </c>
      <c r="N271" s="4" t="s">
        <v>45</v>
      </c>
      <c r="O271" s="4" t="s">
        <v>12</v>
      </c>
      <c r="P271" s="4" t="s">
        <v>49</v>
      </c>
    </row>
    <row r="272" ht="17.6" spans="1:17">
      <c r="A272" s="4" t="s">
        <v>24</v>
      </c>
      <c r="B272" s="4">
        <v>281.3</v>
      </c>
      <c r="C272" s="4">
        <v>2329.76</v>
      </c>
      <c r="D272" s="4">
        <v>41.39</v>
      </c>
      <c r="E272" s="4">
        <v>2317.54</v>
      </c>
      <c r="F272" s="8">
        <f t="shared" ref="F272:F277" si="40">B272/C272</f>
        <v>0.120742050683332</v>
      </c>
      <c r="G272" s="8">
        <f t="shared" ref="G272:G277" si="41">D272/E272</f>
        <v>0.0178594544214987</v>
      </c>
      <c r="H272" s="8">
        <f t="shared" ref="H272:H277" si="42">(F272-G272)/G272</f>
        <v>5.76067968448054</v>
      </c>
      <c r="I272" s="4">
        <v>10</v>
      </c>
      <c r="J272" s="4">
        <f t="shared" ref="J272:J277" si="43">I272*0.3</f>
        <v>3</v>
      </c>
      <c r="K272" s="4"/>
      <c r="L272" s="4"/>
      <c r="M272" s="3" t="s">
        <v>20</v>
      </c>
      <c r="N272" s="4">
        <v>0.209</v>
      </c>
      <c r="O272" s="4">
        <v>10</v>
      </c>
      <c r="P272" s="4">
        <f t="shared" ref="P272:P278" si="44">O272*0.7</f>
        <v>7</v>
      </c>
    </row>
    <row r="273" ht="17.6" spans="1:16">
      <c r="A273" s="3" t="s">
        <v>25</v>
      </c>
      <c r="B273" s="4">
        <v>263</v>
      </c>
      <c r="C273" s="4">
        <v>1836</v>
      </c>
      <c r="D273" s="4">
        <v>100</v>
      </c>
      <c r="E273" s="4">
        <v>2062</v>
      </c>
      <c r="F273" s="8">
        <f t="shared" si="40"/>
        <v>0.143246187363834</v>
      </c>
      <c r="G273" s="8">
        <f t="shared" si="41"/>
        <v>0.0484966052376334</v>
      </c>
      <c r="H273" s="8">
        <f t="shared" si="42"/>
        <v>1.95373638344227</v>
      </c>
      <c r="I273" s="6">
        <f>10*((H273-H277)/(H272-H277))</f>
        <v>3.53689928440581</v>
      </c>
      <c r="J273" s="6">
        <f t="shared" si="43"/>
        <v>1.06106978532174</v>
      </c>
      <c r="K273" s="4"/>
      <c r="L273" s="4"/>
      <c r="M273" s="4" t="s">
        <v>27</v>
      </c>
      <c r="N273" s="4">
        <v>0.207</v>
      </c>
      <c r="O273" s="6">
        <f>10*((N273-N278)/(N272-N278))</f>
        <v>9.88888888888889</v>
      </c>
      <c r="P273" s="6">
        <f t="shared" si="44"/>
        <v>6.92222222222222</v>
      </c>
    </row>
    <row r="274" ht="17.6" spans="1:16">
      <c r="A274" s="3" t="s">
        <v>31</v>
      </c>
      <c r="B274" s="4">
        <v>309</v>
      </c>
      <c r="C274" s="4">
        <v>2398</v>
      </c>
      <c r="D274" s="4">
        <v>152</v>
      </c>
      <c r="E274" s="4">
        <v>2460</v>
      </c>
      <c r="F274" s="8">
        <f t="shared" si="40"/>
        <v>0.128857381150959</v>
      </c>
      <c r="G274" s="8">
        <f t="shared" si="41"/>
        <v>0.0617886178861789</v>
      </c>
      <c r="H274" s="8">
        <f t="shared" si="42"/>
        <v>1.08545498441684</v>
      </c>
      <c r="I274" s="6">
        <f>10*((H274-H277)/(H272-H277))</f>
        <v>2.0628058483812</v>
      </c>
      <c r="J274" s="6">
        <f t="shared" si="43"/>
        <v>0.61884175451436</v>
      </c>
      <c r="K274" s="4"/>
      <c r="L274" s="4"/>
      <c r="M274" s="3" t="s">
        <v>25</v>
      </c>
      <c r="N274" s="4">
        <v>0.143</v>
      </c>
      <c r="O274" s="6">
        <f>10*((N274-N278)/(N272-N278))</f>
        <v>6.33333333333333</v>
      </c>
      <c r="P274" s="6">
        <f t="shared" si="44"/>
        <v>4.43333333333333</v>
      </c>
    </row>
    <row r="275" ht="17.6" spans="1:16">
      <c r="A275" s="3" t="s">
        <v>20</v>
      </c>
      <c r="B275" s="4">
        <v>1074</v>
      </c>
      <c r="C275" s="4">
        <v>5141</v>
      </c>
      <c r="D275" s="4">
        <v>749</v>
      </c>
      <c r="E275" s="4">
        <v>5194</v>
      </c>
      <c r="F275" s="8">
        <f t="shared" si="40"/>
        <v>0.208908772612332</v>
      </c>
      <c r="G275" s="8">
        <f t="shared" si="41"/>
        <v>0.144204851752022</v>
      </c>
      <c r="H275" s="8">
        <f t="shared" si="42"/>
        <v>0.448694479236921</v>
      </c>
      <c r="I275" s="6">
        <f>10*((H275-H277)/(H272-H277))</f>
        <v>0.981768661521068</v>
      </c>
      <c r="J275" s="6">
        <f t="shared" si="43"/>
        <v>0.29453059845632</v>
      </c>
      <c r="K275" s="4"/>
      <c r="L275" s="4"/>
      <c r="M275" s="3" t="s">
        <v>31</v>
      </c>
      <c r="N275" s="4">
        <v>0.129</v>
      </c>
      <c r="O275" s="6">
        <f>10*((N275-N278)/(N272-N278))</f>
        <v>5.55555555555556</v>
      </c>
      <c r="P275" s="6">
        <f t="shared" si="44"/>
        <v>3.88888888888889</v>
      </c>
    </row>
    <row r="276" ht="17.6" spans="1:16">
      <c r="A276" s="4" t="s">
        <v>27</v>
      </c>
      <c r="B276" s="4">
        <v>191.96</v>
      </c>
      <c r="C276" s="4">
        <v>926.74</v>
      </c>
      <c r="D276" s="4">
        <v>203.75</v>
      </c>
      <c r="E276" s="4">
        <v>1039.87</v>
      </c>
      <c r="F276" s="8">
        <f t="shared" si="40"/>
        <v>0.207134687183029</v>
      </c>
      <c r="G276" s="8">
        <f t="shared" si="41"/>
        <v>0.195937953782684</v>
      </c>
      <c r="H276" s="8">
        <f t="shared" si="42"/>
        <v>0.0571442805448639</v>
      </c>
      <c r="I276" s="6">
        <f>10*((H276-H277)/(H272-H277))</f>
        <v>0.317028430515395</v>
      </c>
      <c r="J276" s="6">
        <f t="shared" si="43"/>
        <v>0.0951085291546186</v>
      </c>
      <c r="K276" s="4"/>
      <c r="L276" s="4"/>
      <c r="M276" s="4" t="s">
        <v>24</v>
      </c>
      <c r="N276" s="4">
        <v>0.121</v>
      </c>
      <c r="O276" s="6">
        <f>10*((N276-N278)/(N272-N278))</f>
        <v>5.11111111111111</v>
      </c>
      <c r="P276" s="6">
        <f t="shared" si="44"/>
        <v>3.57777777777778</v>
      </c>
    </row>
    <row r="277" ht="17.6" spans="1:16">
      <c r="A277" s="3" t="s">
        <v>19</v>
      </c>
      <c r="B277" s="4">
        <v>117</v>
      </c>
      <c r="C277" s="4">
        <v>1318</v>
      </c>
      <c r="D277" s="4">
        <v>118</v>
      </c>
      <c r="E277" s="4">
        <v>1157</v>
      </c>
      <c r="F277" s="8">
        <f t="shared" si="40"/>
        <v>0.0887708649468892</v>
      </c>
      <c r="G277" s="8">
        <f t="shared" si="41"/>
        <v>0.101987899740709</v>
      </c>
      <c r="H277" s="8">
        <f t="shared" si="42"/>
        <v>-0.129594146241095</v>
      </c>
      <c r="I277" s="4">
        <v>0</v>
      </c>
      <c r="J277" s="4">
        <f t="shared" si="43"/>
        <v>0</v>
      </c>
      <c r="K277" s="4"/>
      <c r="L277" s="4"/>
      <c r="M277" s="3" t="s">
        <v>19</v>
      </c>
      <c r="N277" s="4">
        <v>0.089</v>
      </c>
      <c r="O277" s="6">
        <f>10*((N277-N278)/(N272-N278))</f>
        <v>3.33333333333333</v>
      </c>
      <c r="P277" s="6">
        <f t="shared" si="44"/>
        <v>2.33333333333333</v>
      </c>
    </row>
    <row r="278" ht="17.6" spans="1:16">
      <c r="A278" s="3" t="s">
        <v>16</v>
      </c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3" t="s">
        <v>28</v>
      </c>
      <c r="N278" s="4">
        <v>0.029</v>
      </c>
      <c r="O278" s="4">
        <v>0</v>
      </c>
      <c r="P278" s="4">
        <f t="shared" si="44"/>
        <v>0</v>
      </c>
    </row>
    <row r="279" ht="17.6" spans="1:16">
      <c r="A279" s="3" t="s">
        <v>14</v>
      </c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3" t="s">
        <v>16</v>
      </c>
      <c r="N279" s="4"/>
      <c r="O279" s="4"/>
      <c r="P279" s="4"/>
    </row>
    <row r="280" ht="17.6" spans="1:16">
      <c r="A280" s="3" t="s">
        <v>21</v>
      </c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3" t="s">
        <v>14</v>
      </c>
      <c r="N280" s="4"/>
      <c r="O280" s="4"/>
      <c r="P280" s="4"/>
    </row>
    <row r="281" ht="17.6" spans="1:16">
      <c r="A281" s="3" t="s">
        <v>28</v>
      </c>
      <c r="B281" s="4">
        <v>380</v>
      </c>
      <c r="C281" s="4">
        <v>13009</v>
      </c>
      <c r="D281" s="4"/>
      <c r="E281" s="4"/>
      <c r="F281" s="8">
        <f>B281/C281</f>
        <v>0.0292105465446998</v>
      </c>
      <c r="G281" s="8"/>
      <c r="H281" s="4"/>
      <c r="I281" s="4"/>
      <c r="J281" s="4"/>
      <c r="K281" s="4"/>
      <c r="L281" s="4"/>
      <c r="M281" s="3" t="s">
        <v>21</v>
      </c>
      <c r="N281" s="4"/>
      <c r="O281" s="4"/>
      <c r="P281" s="4"/>
    </row>
    <row r="282" ht="17.6" spans="1:16">
      <c r="A282" s="3" t="s">
        <v>23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3" t="s">
        <v>23</v>
      </c>
      <c r="N282" s="4"/>
      <c r="O282" s="4"/>
      <c r="P282" s="4"/>
    </row>
    <row r="283" ht="17.6" spans="1:16">
      <c r="A283" s="3" t="s">
        <v>30</v>
      </c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3" t="s">
        <v>30</v>
      </c>
      <c r="N283" s="4"/>
      <c r="O283" s="4"/>
      <c r="P283" s="4"/>
    </row>
    <row r="284" ht="17.6" spans="1:16">
      <c r="A284" s="3" t="s">
        <v>29</v>
      </c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3" t="s">
        <v>29</v>
      </c>
      <c r="N284" s="4"/>
      <c r="O284" s="4"/>
      <c r="P284" s="4"/>
    </row>
    <row r="285" ht="17.6" spans="1:16">
      <c r="A285" s="3" t="s">
        <v>15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3" t="s">
        <v>15</v>
      </c>
      <c r="N285" s="4"/>
      <c r="O285" s="4"/>
      <c r="P285" s="4"/>
    </row>
    <row r="286" ht="17.6" spans="1:16">
      <c r="A286" s="4" t="s">
        <v>22</v>
      </c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 t="s">
        <v>22</v>
      </c>
      <c r="N286" s="4"/>
      <c r="O286" s="4"/>
      <c r="P286" s="4"/>
    </row>
    <row r="287" ht="17.6" spans="1:16">
      <c r="A287" s="4" t="s">
        <v>32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 t="s">
        <v>32</v>
      </c>
      <c r="N287" s="4"/>
      <c r="O287" s="4"/>
      <c r="P287" s="4"/>
    </row>
    <row r="288" ht="17.6" spans="1:16">
      <c r="A288" s="4" t="s">
        <v>17</v>
      </c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 t="s">
        <v>17</v>
      </c>
      <c r="N288" s="4"/>
      <c r="O288" s="4"/>
      <c r="P288" s="4"/>
    </row>
    <row r="289" ht="17.6" spans="1:16">
      <c r="A289" s="4" t="s">
        <v>33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 t="s">
        <v>33</v>
      </c>
      <c r="N289" s="4"/>
      <c r="O289" s="4"/>
      <c r="P289" s="4"/>
    </row>
    <row r="290" ht="17.6" spans="1:16">
      <c r="A290" s="4" t="s">
        <v>26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 t="s">
        <v>26</v>
      </c>
      <c r="N290" s="4"/>
      <c r="O290" s="4"/>
      <c r="P290" s="4"/>
    </row>
    <row r="291" ht="17.6" spans="1:16">
      <c r="A291" s="4" t="s">
        <v>18</v>
      </c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 t="s">
        <v>18</v>
      </c>
      <c r="N291" s="4"/>
      <c r="O291" s="4"/>
      <c r="P291" s="4"/>
    </row>
  </sheetData>
  <mergeCells count="20">
    <mergeCell ref="A1:B1"/>
    <mergeCell ref="C1:D1"/>
    <mergeCell ref="A31:B31"/>
    <mergeCell ref="C31:D31"/>
    <mergeCell ref="A62:B62"/>
    <mergeCell ref="C62:D62"/>
    <mergeCell ref="A94:B94"/>
    <mergeCell ref="C94:D94"/>
    <mergeCell ref="A126:D126"/>
    <mergeCell ref="E126:F126"/>
    <mergeCell ref="A155:B155"/>
    <mergeCell ref="C155:D155"/>
    <mergeCell ref="A184:B184"/>
    <mergeCell ref="C184:D184"/>
    <mergeCell ref="A213:B213"/>
    <mergeCell ref="C213:D213"/>
    <mergeCell ref="A242:B242"/>
    <mergeCell ref="C242:D242"/>
    <mergeCell ref="A270:B270"/>
    <mergeCell ref="C270:D27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chaojunan</dc:creator>
  <cp:lastModifiedBy>auntie</cp:lastModifiedBy>
  <dcterms:created xsi:type="dcterms:W3CDTF">2026-05-14T19:28:00Z</dcterms:created>
  <dcterms:modified xsi:type="dcterms:W3CDTF">2026-05-13T12:17:14Z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65C6CD18D2FEAE60F0EF036A8EB8258D_41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