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5640" windowHeight="12000" tabRatio="600" firstSheet="1" activeTab="4" autoFilterDateGrouping="1"/>
  </bookViews>
  <sheets>
    <sheet name="模型总览与设计逻辑" sheetId="1" state="visible" r:id="rId1"/>
    <sheet name="积极情景（NZE路径）" sheetId="2" state="visible" r:id="rId2"/>
    <sheet name="适度情景（2°C路径）" sheetId="3" state="visible" r:id="rId3"/>
    <sheet name="保守情景（政策承诺）" sheetId="4" state="visible" r:id="rId4"/>
    <sheet name="三情景综合对比" sheetId="5" state="visible" r:id="rId5"/>
    <sheet name="金融机构目标设置（估算）" sheetId="6" state="visible" r:id="rId6"/>
    <sheet name="金融机构目标设置（企业）" sheetId="7" state="visible" r:id="rId7"/>
    <sheet name="低碳技术汇总" sheetId="8" state="visible" r:id="rId8"/>
    <sheet name="可视化仪表板" sheetId="9" state="visible" r:id="rId9"/>
  </sheets>
  <definedNames/>
  <calcPr calcId="19102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00"/>
  </numFmts>
  <fonts count="42">
    <font>
      <name val="宋体"/>
      <charset val="134"/>
      <color theme="1"/>
      <sz val="11"/>
      <scheme val="minor"/>
    </font>
    <font>
      <name val="微软雅黑"/>
      <charset val="134"/>
      <b val="1"/>
      <color rgb="FF000000"/>
      <sz val="14"/>
    </font>
    <font>
      <name val="微软雅黑"/>
      <charset val="134"/>
      <b val="1"/>
      <color rgb="FF000000"/>
      <sz val="10"/>
    </font>
    <font>
      <name val="微软雅黑"/>
      <charset val="134"/>
      <color rgb="FF000000"/>
      <sz val="10"/>
    </font>
    <font>
      <name val="微软雅黑"/>
      <charset val="134"/>
      <color rgb="FF666666"/>
      <sz val="10"/>
    </font>
    <font>
      <name val="微软雅黑"/>
      <charset val="134"/>
      <color rgb="FF000000"/>
      <sz val="9"/>
    </font>
    <font>
      <name val="微软雅黑"/>
      <charset val="134"/>
      <b val="1"/>
      <color rgb="FF1F4E79"/>
      <sz val="11"/>
    </font>
    <font>
      <name val="微软雅黑"/>
      <charset val="134"/>
      <b val="1"/>
      <color rgb="FF548235"/>
      <sz val="10"/>
    </font>
    <font>
      <name val="微软雅黑"/>
      <charset val="134"/>
      <b val="1"/>
      <color rgb="FF4472C4"/>
      <sz val="10"/>
    </font>
    <font>
      <name val="微软雅黑"/>
      <charset val="134"/>
      <b val="1"/>
      <color rgb="FFC00000"/>
      <sz val="10"/>
    </font>
    <font>
      <name val="微软雅黑"/>
      <charset val="134"/>
      <b val="1"/>
      <color rgb="FFC00000"/>
      <sz val="14"/>
    </font>
    <font>
      <name val="微软雅黑"/>
      <charset val="134"/>
      <color rgb="FF666666"/>
      <sz val="9"/>
    </font>
    <font>
      <name val="微软雅黑"/>
      <charset val="134"/>
      <b val="1"/>
      <color rgb="FFC00000"/>
      <sz val="11"/>
    </font>
    <font>
      <name val="微软雅黑"/>
      <charset val="134"/>
      <b val="1"/>
      <color rgb="FFC00000"/>
      <sz val="9"/>
    </font>
    <font>
      <name val="微软雅黑"/>
      <charset val="134"/>
      <b val="1"/>
      <color rgb="FF4472C4"/>
      <sz val="14"/>
    </font>
    <font>
      <name val="微软雅黑"/>
      <charset val="134"/>
      <b val="1"/>
      <color rgb="FF4472C4"/>
      <sz val="11"/>
    </font>
    <font>
      <name val="微软雅黑"/>
      <charset val="134"/>
      <b val="1"/>
      <color rgb="FF4472C4"/>
      <sz val="9"/>
    </font>
    <font>
      <name val="微软雅黑"/>
      <charset val="134"/>
      <b val="1"/>
      <color rgb="FF548235"/>
      <sz val="14"/>
    </font>
    <font>
      <name val="微软雅黑"/>
      <charset val="134"/>
      <b val="1"/>
      <color rgb="FF548235"/>
      <sz val="11"/>
    </font>
    <font>
      <name val="微软雅黑"/>
      <charset val="134"/>
      <b val="1"/>
      <color rgb="FF548235"/>
      <sz val="9"/>
    </font>
    <font>
      <name val="微软雅黑"/>
      <charset val="134"/>
      <b val="1"/>
      <color rgb="FF000000"/>
      <sz val="16"/>
    </font>
    <font>
      <name val="微软雅黑"/>
      <charset val="134"/>
      <color rgb="FF666666"/>
      <sz val="11"/>
    </font>
    <font>
      <name val="微软雅黑"/>
      <charset val="134"/>
      <b val="1"/>
      <color rgb="FF1F4E79"/>
      <sz val="12"/>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rgb="FFD9E2F3"/>
        <bgColor rgb="FFD9E2F3"/>
      </patternFill>
    </fill>
    <fill>
      <patternFill patternType="solid">
        <fgColor rgb="FFF2F2F2"/>
        <bgColor rgb="FFF2F2F2"/>
      </patternFill>
    </fill>
    <fill>
      <patternFill patternType="solid">
        <fgColor rgb="FFFFF2CC"/>
        <bgColor rgb="FFFFF2CC"/>
      </patternFill>
    </fill>
    <fill>
      <patternFill patternType="solid">
        <fgColor rgb="FFE8F5E9"/>
        <bgColor rgb="FFE8F5E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B0B0B0"/>
      </top>
      <bottom/>
      <diagonal/>
    </border>
    <border>
      <left/>
      <right style="thin">
        <color rgb="FFB0B0B0"/>
      </right>
      <top style="thin">
        <color rgb="FFB0B0B0"/>
      </top>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3" fillId="0" borderId="0" applyAlignment="1">
      <alignment vertical="center"/>
    </xf>
    <xf numFmtId="0" fontId="24" fillId="0" borderId="0" applyAlignment="1">
      <alignment vertical="center"/>
    </xf>
    <xf numFmtId="0" fontId="0" fillId="6" borderId="4" applyAlignment="1">
      <alignment vertical="center"/>
    </xf>
    <xf numFmtId="0" fontId="25" fillId="0" borderId="0" applyAlignment="1">
      <alignment vertical="center"/>
    </xf>
    <xf numFmtId="0" fontId="26" fillId="0" borderId="0" applyAlignment="1">
      <alignment vertical="center"/>
    </xf>
    <xf numFmtId="0" fontId="27" fillId="0" borderId="0" applyAlignment="1">
      <alignment vertical="center"/>
    </xf>
    <xf numFmtId="0" fontId="28" fillId="0" borderId="5" applyAlignment="1">
      <alignment vertical="center"/>
    </xf>
    <xf numFmtId="0" fontId="29" fillId="0" borderId="5" applyAlignment="1">
      <alignment vertical="center"/>
    </xf>
    <xf numFmtId="0" fontId="30" fillId="0" borderId="6" applyAlignment="1">
      <alignment vertical="center"/>
    </xf>
    <xf numFmtId="0" fontId="30" fillId="0" borderId="0" applyAlignment="1">
      <alignment vertical="center"/>
    </xf>
    <xf numFmtId="0" fontId="31" fillId="7" borderId="7" applyAlignment="1">
      <alignment vertical="center"/>
    </xf>
    <xf numFmtId="0" fontId="32" fillId="8" borderId="8" applyAlignment="1">
      <alignment vertical="center"/>
    </xf>
    <xf numFmtId="0" fontId="33" fillId="8" borderId="7" applyAlignment="1">
      <alignment vertical="center"/>
    </xf>
    <xf numFmtId="0" fontId="34" fillId="9" borderId="9" applyAlignment="1">
      <alignment vertical="center"/>
    </xf>
    <xf numFmtId="0" fontId="35" fillId="0" borderId="10" applyAlignment="1">
      <alignment vertical="center"/>
    </xf>
    <xf numFmtId="0" fontId="36" fillId="0" borderId="11" applyAlignment="1">
      <alignment vertical="center"/>
    </xf>
    <xf numFmtId="0" fontId="37" fillId="10" borderId="0" applyAlignment="1">
      <alignment vertical="center"/>
    </xf>
    <xf numFmtId="0" fontId="38" fillId="11" borderId="0" applyAlignment="1">
      <alignment vertical="center"/>
    </xf>
    <xf numFmtId="0" fontId="39" fillId="12" borderId="0" applyAlignment="1">
      <alignment vertical="center"/>
    </xf>
    <xf numFmtId="0" fontId="40" fillId="13" borderId="0" applyAlignment="1">
      <alignment vertical="center"/>
    </xf>
    <xf numFmtId="0" fontId="41" fillId="14" borderId="0" applyAlignment="1">
      <alignment vertical="center"/>
    </xf>
    <xf numFmtId="0" fontId="41" fillId="15" borderId="0" applyAlignment="1">
      <alignment vertical="center"/>
    </xf>
    <xf numFmtId="0" fontId="40" fillId="16" borderId="0" applyAlignment="1">
      <alignment vertical="center"/>
    </xf>
    <xf numFmtId="0" fontId="40" fillId="17" borderId="0" applyAlignment="1">
      <alignment vertical="center"/>
    </xf>
    <xf numFmtId="0" fontId="41" fillId="18" borderId="0" applyAlignment="1">
      <alignment vertical="center"/>
    </xf>
    <xf numFmtId="0" fontId="41" fillId="19" borderId="0" applyAlignment="1">
      <alignment vertical="center"/>
    </xf>
    <xf numFmtId="0" fontId="40" fillId="20" borderId="0" applyAlignment="1">
      <alignment vertical="center"/>
    </xf>
    <xf numFmtId="0" fontId="40" fillId="21" borderId="0" applyAlignment="1">
      <alignment vertical="center"/>
    </xf>
    <xf numFmtId="0" fontId="41" fillId="22" borderId="0" applyAlignment="1">
      <alignment vertical="center"/>
    </xf>
    <xf numFmtId="0" fontId="41" fillId="23" borderId="0" applyAlignment="1">
      <alignment vertical="center"/>
    </xf>
    <xf numFmtId="0" fontId="40" fillId="24" borderId="0" applyAlignment="1">
      <alignment vertical="center"/>
    </xf>
    <xf numFmtId="0" fontId="40" fillId="25" borderId="0" applyAlignment="1">
      <alignment vertical="center"/>
    </xf>
    <xf numFmtId="0" fontId="41" fillId="26" borderId="0" applyAlignment="1">
      <alignment vertical="center"/>
    </xf>
    <xf numFmtId="0" fontId="41" fillId="27" borderId="0" applyAlignment="1">
      <alignment vertical="center"/>
    </xf>
    <xf numFmtId="0" fontId="40" fillId="28" borderId="0" applyAlignment="1">
      <alignment vertical="center"/>
    </xf>
    <xf numFmtId="0" fontId="40" fillId="29" borderId="0" applyAlignment="1">
      <alignment vertical="center"/>
    </xf>
    <xf numFmtId="0" fontId="41" fillId="30" borderId="0" applyAlignment="1">
      <alignment vertical="center"/>
    </xf>
    <xf numFmtId="0" fontId="41" fillId="31" borderId="0" applyAlignment="1">
      <alignment vertical="center"/>
    </xf>
    <xf numFmtId="0" fontId="40" fillId="32" borderId="0" applyAlignment="1">
      <alignment vertical="center"/>
    </xf>
    <xf numFmtId="0" fontId="40" fillId="33" borderId="0" applyAlignment="1">
      <alignment vertical="center"/>
    </xf>
    <xf numFmtId="0" fontId="41" fillId="34" borderId="0" applyAlignment="1">
      <alignment vertical="center"/>
    </xf>
    <xf numFmtId="0" fontId="41" fillId="35" borderId="0" applyAlignment="1">
      <alignment vertical="center"/>
    </xf>
    <xf numFmtId="0" fontId="40" fillId="36" borderId="0" applyAlignment="1">
      <alignment vertical="center"/>
    </xf>
  </cellStyleXfs>
  <cellXfs count="96">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1"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1" fontId="3" fillId="3" borderId="1" applyAlignment="1" pivotButton="0" quotePrefix="0" xfId="0">
      <alignment horizontal="center" vertical="center" wrapText="1"/>
    </xf>
    <xf numFmtId="164" fontId="3" fillId="3" borderId="1" applyAlignment="1" pivotButton="0" quotePrefix="0" xfId="0">
      <alignment horizontal="center" vertical="center" wrapText="1"/>
    </xf>
    <xf numFmtId="1"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 fontId="2" fillId="3" borderId="1" applyAlignment="1" pivotButton="0" quotePrefix="0" xfId="0">
      <alignment horizontal="center" vertical="center" wrapText="1"/>
    </xf>
    <xf numFmtId="164"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2" fontId="2" fillId="0" borderId="1" applyAlignment="1" pivotButton="0" quotePrefix="0" xfId="0">
      <alignment horizontal="center" vertical="center" wrapText="1"/>
    </xf>
    <xf numFmtId="165" fontId="3" fillId="3" borderId="1" applyAlignment="1" pivotButton="0" quotePrefix="0" xfId="0">
      <alignment horizontal="center" vertical="center" wrapText="1"/>
    </xf>
    <xf numFmtId="2" fontId="3" fillId="3" borderId="1" applyAlignment="1" pivotButton="0" quotePrefix="0" xfId="0">
      <alignment horizontal="center" vertical="center" wrapText="1"/>
    </xf>
    <xf numFmtId="165" fontId="3" fillId="0" borderId="1" applyAlignment="1" pivotButton="0" quotePrefix="0" xfId="0">
      <alignment horizontal="center" vertical="center" wrapText="1"/>
    </xf>
    <xf numFmtId="2" fontId="3" fillId="0" borderId="1" applyAlignment="1" pivotButton="0" quotePrefix="0" xfId="0">
      <alignment horizontal="center" vertical="center" wrapText="1"/>
    </xf>
    <xf numFmtId="165" fontId="2" fillId="3" borderId="1" applyAlignment="1" pivotButton="0" quotePrefix="0" xfId="0">
      <alignment horizontal="center" vertical="center" wrapText="1"/>
    </xf>
    <xf numFmtId="2" fontId="2" fillId="3" borderId="1" applyAlignment="1" pivotButton="0" quotePrefix="0" xfId="0">
      <alignment horizontal="center" vertical="center" wrapText="1"/>
    </xf>
    <xf numFmtId="0" fontId="4" fillId="0" borderId="0" applyAlignment="1" pivotButton="0" quotePrefix="0" xfId="0">
      <alignment horizontal="left"/>
    </xf>
    <xf numFmtId="0" fontId="3" fillId="0" borderId="1" applyAlignment="1" pivotButton="0" quotePrefix="0" xfId="0">
      <alignment horizontal="center" vertical="center" wrapText="1"/>
    </xf>
    <xf numFmtId="0" fontId="2" fillId="0" borderId="1" applyAlignment="1" pivotButton="0" quotePrefix="0" xfId="0">
      <alignment horizontal="left" wrapText="1"/>
    </xf>
    <xf numFmtId="0" fontId="5" fillId="0" borderId="1" applyAlignment="1" pivotButton="0" quotePrefix="0" xfId="0">
      <alignment horizontal="left" wrapText="1"/>
    </xf>
    <xf numFmtId="0" fontId="6"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center" vertical="center" wrapText="1"/>
    </xf>
    <xf numFmtId="164" fontId="3"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3" fillId="0" borderId="1" applyAlignment="1" pivotButton="0" quotePrefix="0" xfId="0">
      <alignment horizontal="left" wrapText="1"/>
    </xf>
    <xf numFmtId="0" fontId="8" fillId="0" borderId="1" applyAlignment="1" pivotButton="0" quotePrefix="0" xfId="0">
      <alignment horizontal="center" vertical="center" wrapText="1"/>
    </xf>
    <xf numFmtId="0" fontId="9" fillId="0" borderId="1" applyAlignment="1" pivotButton="0" quotePrefix="0" xfId="0">
      <alignment horizontal="center" vertical="center" wrapText="1"/>
    </xf>
    <xf numFmtId="2" fontId="3"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0" fillId="0" borderId="2" pivotButton="0" quotePrefix="0" xfId="0"/>
    <xf numFmtId="0" fontId="0" fillId="0" borderId="3" pivotButton="0" quotePrefix="0" xfId="0"/>
    <xf numFmtId="1"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2" fontId="2" fillId="4"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0" borderId="0" applyAlignment="1" pivotButton="0" quotePrefix="0" xfId="0">
      <alignment horizontal="left" vertical="top" wrapText="1"/>
    </xf>
    <xf numFmtId="0" fontId="3" fillId="3" borderId="1" applyAlignment="1" pivotButton="0" quotePrefix="0" xfId="0">
      <alignment horizontal="center" vertical="center" wrapText="1"/>
    </xf>
    <xf numFmtId="0" fontId="3" fillId="3" borderId="1" applyAlignment="1" pivotButton="0" quotePrefix="0" xfId="0">
      <alignment horizontal="center" vertical="center" wrapText="1"/>
    </xf>
    <xf numFmtId="49" fontId="2" fillId="0" borderId="1" applyAlignment="1" pivotButton="0" quotePrefix="0" xfId="0">
      <alignment horizontal="center" vertical="center" wrapText="1"/>
    </xf>
    <xf numFmtId="49" fontId="2" fillId="3" borderId="1" applyAlignment="1" pivotButton="0" quotePrefix="0" xfId="0">
      <alignment horizontal="center" vertical="center" wrapText="1"/>
    </xf>
    <xf numFmtId="49" fontId="3" fillId="3" borderId="1" applyAlignment="1" pivotButton="0" quotePrefix="0" xfId="0">
      <alignment horizontal="center" vertical="center" wrapText="1"/>
    </xf>
    <xf numFmtId="49" fontId="3" fillId="0" borderId="1" applyAlignment="1" pivotButton="0" quotePrefix="0" xfId="0">
      <alignment horizontal="center" vertical="center" wrapText="1"/>
    </xf>
    <xf numFmtId="0" fontId="10" fillId="0" borderId="0" applyAlignment="1" pivotButton="0" quotePrefix="0" xfId="0">
      <alignment horizontal="left" vertical="center"/>
    </xf>
    <xf numFmtId="0" fontId="11" fillId="0" borderId="0" applyAlignment="1" pivotButton="0" quotePrefix="0" xfId="0">
      <alignment horizontal="left"/>
    </xf>
    <xf numFmtId="0" fontId="12" fillId="0" borderId="0" applyAlignment="1" pivotButton="0" quotePrefix="0" xfId="0">
      <alignment horizontal="left"/>
    </xf>
    <xf numFmtId="0" fontId="9" fillId="2" borderId="1" applyAlignment="1" pivotButton="0" quotePrefix="0" xfId="0">
      <alignment horizontal="center" vertical="center" wrapText="1"/>
    </xf>
    <xf numFmtId="166" fontId="2" fillId="0" borderId="1" applyAlignment="1" pivotButton="0" quotePrefix="0" xfId="0">
      <alignment horizontal="center" vertical="center" wrapText="1"/>
    </xf>
    <xf numFmtId="4" fontId="2" fillId="0" borderId="1" applyAlignment="1" pivotButton="0" quotePrefix="0" xfId="0">
      <alignment horizontal="center" vertical="center" wrapText="1"/>
    </xf>
    <xf numFmtId="166" fontId="3" fillId="3" borderId="1" applyAlignment="1" pivotButton="0" quotePrefix="0" xfId="0">
      <alignment horizontal="center" vertical="center" wrapText="1"/>
    </xf>
    <xf numFmtId="4" fontId="3" fillId="3" borderId="1" applyAlignment="1" pivotButton="0" quotePrefix="0" xfId="0">
      <alignment horizontal="center" vertical="center" wrapText="1"/>
    </xf>
    <xf numFmtId="166" fontId="3" fillId="0" borderId="1" applyAlignment="1" pivotButton="0" quotePrefix="0" xfId="0">
      <alignment horizontal="center" vertical="center" wrapText="1"/>
    </xf>
    <xf numFmtId="4" fontId="3" fillId="0" borderId="1" applyAlignment="1" pivotButton="0" quotePrefix="0" xfId="0">
      <alignment horizontal="center" vertical="center" wrapText="1"/>
    </xf>
    <xf numFmtId="166" fontId="2" fillId="3" borderId="1" applyAlignment="1" pivotButton="0" quotePrefix="0" xfId="0">
      <alignment horizontal="center" vertical="center" wrapText="1"/>
    </xf>
    <xf numFmtId="4" fontId="2" fillId="3" borderId="1" applyAlignment="1" pivotButton="0" quotePrefix="0" xfId="0">
      <alignment horizontal="center" vertical="center" wrapText="1"/>
    </xf>
    <xf numFmtId="0" fontId="13" fillId="0" borderId="0" applyAlignment="1" pivotButton="0" quotePrefix="0" xfId="0">
      <alignment horizontal="left"/>
    </xf>
    <xf numFmtId="0" fontId="9" fillId="5" borderId="1" applyAlignment="1" pivotButton="0" quotePrefix="0" xfId="0">
      <alignment horizontal="center" vertical="center" wrapText="1"/>
    </xf>
    <xf numFmtId="167" fontId="2" fillId="0" borderId="1" applyAlignment="1" pivotButton="0" quotePrefix="0" xfId="0">
      <alignment horizontal="center" vertical="center" wrapText="1"/>
    </xf>
    <xf numFmtId="167" fontId="3" fillId="3" borderId="1" applyAlignment="1" pivotButton="0" quotePrefix="0" xfId="0">
      <alignment horizontal="center" vertical="center" wrapText="1"/>
    </xf>
    <xf numFmtId="167" fontId="3" fillId="0" borderId="1" applyAlignment="1" pivotButton="0" quotePrefix="0" xfId="0">
      <alignment horizontal="center" vertical="center" wrapText="1"/>
    </xf>
    <xf numFmtId="167" fontId="2" fillId="3" borderId="1" applyAlignment="1" pivotButton="0" quotePrefix="0" xfId="0">
      <alignment horizontal="center" vertical="center" wrapText="1"/>
    </xf>
    <xf numFmtId="0" fontId="14" fillId="0" borderId="0" applyAlignment="1" pivotButton="0" quotePrefix="0" xfId="0">
      <alignment horizontal="left" vertical="center"/>
    </xf>
    <xf numFmtId="0" fontId="15" fillId="0" borderId="0" applyAlignment="1" pivotButton="0" quotePrefix="0" xfId="0">
      <alignment horizontal="left"/>
    </xf>
    <xf numFmtId="0" fontId="8" fillId="2" borderId="1" applyAlignment="1" pivotButton="0" quotePrefix="0" xfId="0">
      <alignment horizontal="center" vertical="center" wrapText="1"/>
    </xf>
    <xf numFmtId="0" fontId="16" fillId="0" borderId="0" applyAlignment="1" pivotButton="0" quotePrefix="0" xfId="0">
      <alignment horizontal="left"/>
    </xf>
    <xf numFmtId="0" fontId="8" fillId="5" borderId="1" applyAlignment="1" pivotButton="0" quotePrefix="0" xfId="0">
      <alignment horizontal="center" vertical="center" wrapText="1"/>
    </xf>
    <xf numFmtId="0" fontId="17" fillId="0" borderId="0" applyAlignment="1" pivotButton="0" quotePrefix="0" xfId="0">
      <alignment horizontal="left" vertical="center"/>
    </xf>
    <xf numFmtId="0" fontId="18" fillId="0" borderId="0" applyAlignment="1" pivotButton="0" quotePrefix="0" xfId="0">
      <alignment horizontal="left"/>
    </xf>
    <xf numFmtId="0" fontId="7" fillId="2" borderId="1" applyAlignment="1" pivotButton="0" quotePrefix="0" xfId="0">
      <alignment horizontal="center" vertical="center" wrapText="1"/>
    </xf>
    <xf numFmtId="0" fontId="19" fillId="0" borderId="0" applyAlignment="1" pivotButton="0" quotePrefix="0" xfId="0">
      <alignment horizontal="left"/>
    </xf>
    <xf numFmtId="0" fontId="7" fillId="5" borderId="1" applyAlignment="1" pivotButton="0" quotePrefix="0" xfId="0">
      <alignment horizontal="center" vertical="center" wrapText="1"/>
    </xf>
    <xf numFmtId="0" fontId="20" fillId="0" borderId="0" applyAlignment="1" pivotButton="0" quotePrefix="0" xfId="0">
      <alignment horizontal="left" vertical="center"/>
    </xf>
    <xf numFmtId="0" fontId="21" fillId="0" borderId="0" applyAlignment="1" pivotButton="0" quotePrefix="0" xfId="0">
      <alignment horizontal="left"/>
    </xf>
    <xf numFmtId="0" fontId="22" fillId="0" borderId="0" applyAlignment="1" pivotButton="0" quotePrefix="0" xfId="0">
      <alignment horizontal="left" vertical="center"/>
    </xf>
    <xf numFmtId="0" fontId="22" fillId="0" borderId="0" applyAlignment="1" pivotButton="0" quotePrefix="0" xfId="0">
      <alignment horizontal="left"/>
    </xf>
    <xf numFmtId="166" fontId="2" fillId="0" borderId="1" applyAlignment="1" pivotButton="0" quotePrefix="0" xfId="0">
      <alignment horizontal="center" vertical="center" wrapText="1"/>
    </xf>
    <xf numFmtId="166" fontId="3" fillId="3" borderId="1" applyAlignment="1" pivotButton="0" quotePrefix="0" xfId="0">
      <alignment horizontal="center" vertical="center" wrapText="1"/>
    </xf>
    <xf numFmtId="166" fontId="3" fillId="0" borderId="1" applyAlignment="1" pivotButton="0" quotePrefix="0" xfId="0">
      <alignment horizontal="center" vertical="center" wrapText="1"/>
    </xf>
    <xf numFmtId="166" fontId="2" fillId="3" borderId="1" applyAlignment="1" pivotButton="0" quotePrefix="0" xfId="0">
      <alignment horizontal="center" vertical="center" wrapText="1"/>
    </xf>
    <xf numFmtId="165" fontId="2" fillId="0" borderId="1" applyAlignment="1" pivotButton="0" quotePrefix="0" xfId="0">
      <alignment horizontal="center" vertical="center" wrapText="1"/>
    </xf>
    <xf numFmtId="164" fontId="2" fillId="0" borderId="1" applyAlignment="1" pivotButton="0" quotePrefix="0" xfId="0">
      <alignment horizontal="center" vertical="center" wrapText="1"/>
    </xf>
    <xf numFmtId="165" fontId="3" fillId="3" borderId="1" applyAlignment="1" pivotButton="0" quotePrefix="0" xfId="0">
      <alignment horizontal="center" vertical="center" wrapText="1"/>
    </xf>
    <xf numFmtId="164" fontId="3" fillId="3" borderId="1" applyAlignment="1" pivotButton="0" quotePrefix="0" xfId="0">
      <alignment horizontal="center" vertical="center" wrapText="1"/>
    </xf>
    <xf numFmtId="165"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165" fontId="2" fillId="3" borderId="1" applyAlignment="1" pivotButton="0" quotePrefix="0" xfId="0">
      <alignment horizontal="center" vertical="center" wrapText="1"/>
    </xf>
    <xf numFmtId="164" fontId="2" fillId="3" borderId="1" applyAlignment="1" pivotButton="0" quotePrefix="0" xfId="0">
      <alignment horizontal="center" vertical="center" wrapText="1"/>
    </xf>
    <xf numFmtId="167" fontId="2" fillId="0" borderId="1" applyAlignment="1" pivotButton="0" quotePrefix="0" xfId="0">
      <alignment horizontal="center" vertical="center" wrapText="1"/>
    </xf>
    <xf numFmtId="167" fontId="3" fillId="3" borderId="1" applyAlignment="1" pivotButton="0" quotePrefix="0" xfId="0">
      <alignment horizontal="center" vertical="center" wrapText="1"/>
    </xf>
    <xf numFmtId="167" fontId="3" fillId="0" borderId="1" applyAlignment="1" pivotButton="0" quotePrefix="0" xfId="0">
      <alignment horizontal="center" vertical="center" wrapText="1"/>
    </xf>
    <xf numFmtId="167" fontId="2" fillId="3" borderId="1" applyAlignment="1" pivotButton="0" quotePrefix="0" xfId="0">
      <alignment horizontal="center" vertical="center" wrapText="1"/>
    </xf>
    <xf numFmtId="164" fontId="2" fillId="4" borderId="1" applyAlignment="1" pivotButton="0" quotePrefix="0" xfId="0">
      <alignment horizontal="center" vertical="center" wrapText="1"/>
    </xf>
    <xf numFmtId="164" fontId="3" fillId="4" borderId="1" applyAlignment="1" pivotButton="0" quotePrefix="0" xfId="0">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charts/chart1.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碳强度下降路径（积极情景（NZE / 1.5°C路径））</a:t>
            </a:r>
          </a:p>
        </rich>
      </tx>
      <layout/>
      <overlay val="0"/>
    </title>
    <plotArea>
      <layout/>
      <lineChart>
        <grouping val="standard"/>
        <varyColors val="0"/>
        <ser>
          <idx val="0"/>
          <order val="0"/>
          <tx>
            <strRef>
              <f>'积极情景（NZE路径）'!$D$46</f>
              <strCache>
                <ptCount val="1"/>
                <pt idx="0">
                  <v>0.589</v>
                </pt>
              </strCache>
            </strRef>
          </tx>
          <spPr>
            <a:ln w="25000" cap="rnd" cmpd="sng" algn="ctr">
              <a:solidFill>
                <a:srgbClr val="548235"/>
              </a:solidFill>
              <a:prstDash val="solid"/>
              <a:round/>
            </a:ln>
          </spPr>
          <marker>
            <symbol val="none"/>
            <spPr>
              <a:ln>
                <a:prstDash val="solid"/>
              </a:ln>
            </spPr>
          </marker>
          <dLbls>
            <delete val="1"/>
          </dLbls>
          <cat>
            <numRef>
              <f>'积极情景（NZE路径）'!$A$47:$A$83</f>
              <numCache>
                <formatCode>0</formatCode>
                <ptCount val="37"/>
                <pt idx="0">
                  <v>2025</v>
                </pt>
                <pt idx="1">
                  <v>2026</v>
                </pt>
                <pt idx="2">
                  <v>2027</v>
                </pt>
                <pt idx="3">
                  <v>2028</v>
                </pt>
                <pt idx="4">
                  <v>2029</v>
                </pt>
                <pt idx="5">
                  <v>2030</v>
                </pt>
                <pt idx="6">
                  <v>2031</v>
                </pt>
                <pt idx="7">
                  <v>2032</v>
                </pt>
                <pt idx="8">
                  <v>2033</v>
                </pt>
                <pt idx="9">
                  <v>2034</v>
                </pt>
                <pt idx="10">
                  <v>2035</v>
                </pt>
                <pt idx="11">
                  <v>2036</v>
                </pt>
                <pt idx="12">
                  <v>2037</v>
                </pt>
                <pt idx="13">
                  <v>2038</v>
                </pt>
                <pt idx="14">
                  <v>2039</v>
                </pt>
                <pt idx="15">
                  <v>2040</v>
                </pt>
                <pt idx="16">
                  <v>2041</v>
                </pt>
                <pt idx="17">
                  <v>2042</v>
                </pt>
                <pt idx="18">
                  <v>2043</v>
                </pt>
                <pt idx="19">
                  <v>2044</v>
                </pt>
                <pt idx="20">
                  <v>2045</v>
                </pt>
                <pt idx="21">
                  <v>2046</v>
                </pt>
                <pt idx="22">
                  <v>2047</v>
                </pt>
                <pt idx="23">
                  <v>2048</v>
                </pt>
                <pt idx="24">
                  <v>2049</v>
                </pt>
                <pt idx="25">
                  <v>2050</v>
                </pt>
                <pt idx="26">
                  <v>2051</v>
                </pt>
                <pt idx="27">
                  <v>2052</v>
                </pt>
                <pt idx="28">
                  <v>2053</v>
                </pt>
                <pt idx="29">
                  <v>2054</v>
                </pt>
                <pt idx="30">
                  <v>2055</v>
                </pt>
                <pt idx="31">
                  <v>2056</v>
                </pt>
                <pt idx="32">
                  <v>2057</v>
                </pt>
                <pt idx="33">
                  <v>2058</v>
                </pt>
                <pt idx="34">
                  <v>2059</v>
                </pt>
                <pt idx="35">
                  <v>2060</v>
                </pt>
              </numCache>
            </numRef>
          </cat>
          <val>
            <numRef>
              <f>'积极情景（NZE路径）'!$D$47:$D$82</f>
              <numCache>
                <formatCode>0.000</formatCode>
                <ptCount val="36"/>
                <pt idx="0">
                  <v>0.574</v>
                </pt>
                <pt idx="1">
                  <v>0.5590000000000001</v>
                </pt>
                <pt idx="2">
                  <v>0.544</v>
                </pt>
                <pt idx="3">
                  <v>0.53</v>
                </pt>
                <pt idx="4">
                  <v>0.515</v>
                </pt>
                <pt idx="5">
                  <v>0.5</v>
                </pt>
                <pt idx="6">
                  <v>0.488</v>
                </pt>
                <pt idx="7">
                  <v>0.476</v>
                </pt>
                <pt idx="8">
                  <v>0.464</v>
                </pt>
                <pt idx="9">
                  <v>0.452</v>
                </pt>
                <pt idx="10">
                  <v>0.44</v>
                </pt>
                <pt idx="11">
                  <v>0.424</v>
                </pt>
                <pt idx="12">
                  <v>0.408</v>
                </pt>
                <pt idx="13">
                  <v>0.392</v>
                </pt>
                <pt idx="14">
                  <v>0.376</v>
                </pt>
                <pt idx="15">
                  <v>0.36</v>
                </pt>
                <pt idx="16">
                  <v>0.344</v>
                </pt>
                <pt idx="17">
                  <v>0.328</v>
                </pt>
                <pt idx="18">
                  <v>0.312</v>
                </pt>
                <pt idx="19">
                  <v>0.296</v>
                </pt>
                <pt idx="20">
                  <v>0.28</v>
                </pt>
                <pt idx="21">
                  <v>0.264</v>
                </pt>
                <pt idx="22">
                  <v>0.248</v>
                </pt>
                <pt idx="23">
                  <v>0.232</v>
                </pt>
                <pt idx="24">
                  <v>0.216</v>
                </pt>
                <pt idx="25">
                  <v>0.2</v>
                </pt>
                <pt idx="26">
                  <v>0.185</v>
                </pt>
                <pt idx="27">
                  <v>0.17</v>
                </pt>
                <pt idx="28">
                  <v>0.155</v>
                </pt>
                <pt idx="29">
                  <v>0.14</v>
                </pt>
                <pt idx="30">
                  <v>0.125</v>
                </pt>
                <pt idx="31">
                  <v>0.11</v>
                </pt>
                <pt idx="32">
                  <v>0.095</v>
                </pt>
                <pt idx="33">
                  <v>0.08</v>
                </pt>
                <pt idx="34">
                  <v>0.065</v>
                </pt>
                <pt idx="35">
                  <v>0.05</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max val="0.65"/>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吨水泥碳强度 (tCO2/t)</a:t>
                </a:r>
              </a:p>
            </rich>
          </tx>
          <layout/>
          <overlay val="0"/>
        </title>
        <numFmt formatCode="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2.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技术路径降碳贡献分解</a:t>
            </a:r>
          </a:p>
        </rich>
      </tx>
      <layout/>
      <overlay val="0"/>
    </title>
    <plotArea>
      <layout/>
      <barChart>
        <barDir val="col"/>
        <grouping val="stacked"/>
        <varyColors val="0"/>
        <ser>
          <idx val="0"/>
          <order val="0"/>
          <tx>
            <strRef>
              <f>'积极情景（NZE路径）'!$B$96</f>
              <strCache>
                <ptCount val="1"/>
                <pt idx="0">
                  <v>产能优化/产量下降</v>
                </pt>
              </strCache>
            </strRef>
          </tx>
          <spPr>
            <a:solidFill>
              <a:srgbClr val="4472C4"/>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'积极情景（NZE路径）'!$B$97:$B$133</f>
              <numCache>
                <formatCode>0.0000</formatCode>
                <ptCount val="37"/>
                <pt idx="0">
                  <v>0</v>
                </pt>
                <pt idx="1">
                  <v>0.0059</v>
                </pt>
                <pt idx="2">
                  <v>0.0119</v>
                </pt>
                <pt idx="3">
                  <v>0.0178</v>
                </pt>
                <pt idx="4">
                  <v>0.0237</v>
                </pt>
                <pt idx="5">
                  <v>0.0297</v>
                </pt>
                <pt idx="6">
                  <v>0.0356</v>
                </pt>
                <pt idx="7">
                  <v>0.0389</v>
                </pt>
                <pt idx="8">
                  <v>0.0422</v>
                </pt>
                <pt idx="9">
                  <v>0.0455</v>
                </pt>
                <pt idx="10">
                  <v>0.0488</v>
                </pt>
                <pt idx="11">
                  <v>0.0521</v>
                </pt>
                <pt idx="12">
                  <v>0.0545</v>
                </pt>
                <pt idx="13">
                  <v>0.0569</v>
                </pt>
                <pt idx="14">
                  <v>0.0593</v>
                </pt>
                <pt idx="15">
                  <v>0.0617</v>
                </pt>
                <pt idx="16">
                  <v>0.0641</v>
                </pt>
                <pt idx="17">
                  <v>0.0655</v>
                </pt>
                <pt idx="18">
                  <v>0.0668</v>
                </pt>
                <pt idx="19">
                  <v>0.0682</v>
                </pt>
                <pt idx="20">
                  <v>0.0696</v>
                </pt>
                <pt idx="21">
                  <v>0.0709</v>
                </pt>
                <pt idx="22">
                  <v>0.0723</v>
                </pt>
                <pt idx="23">
                  <v>0.0737</v>
                </pt>
                <pt idx="24">
                  <v>0.0751</v>
                </pt>
                <pt idx="25">
                  <v>0.0764</v>
                </pt>
                <pt idx="26">
                  <v>0.07779999999999999</v>
                </pt>
                <pt idx="27">
                  <v>0.0781</v>
                </pt>
                <pt idx="28">
                  <v>0.0784</v>
                </pt>
                <pt idx="29">
                  <v>0.07870000000000001</v>
                </pt>
                <pt idx="30">
                  <v>0.079</v>
                </pt>
                <pt idx="31">
                  <v>0.0793</v>
                </pt>
                <pt idx="32">
                  <v>0.0796</v>
                </pt>
                <pt idx="33">
                  <v>0.0799</v>
                </pt>
                <pt idx="34">
                  <v>0.08019999999999999</v>
                </pt>
                <pt idx="35">
                  <v>0.0805</v>
                </pt>
                <pt idx="36">
                  <v>0.0808</v>
                </pt>
              </numCache>
            </numRef>
          </val>
        </ser>
        <ser>
          <idx val="1"/>
          <order val="1"/>
          <tx>
            <strRef>
              <f>'积极情景（NZE路径）'!$C$96</f>
              <strCache>
                <ptCount val="1"/>
                <pt idx="0">
                  <v>极致能效提升</v>
                </pt>
              </strCache>
            </strRef>
          </tx>
          <spPr>
            <a:solidFill>
              <a:srgbClr val="ED7D31"/>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'积极情景（NZE路径）'!$C$97:$C$133</f>
              <numCache>
                <formatCode>0.0000</formatCode>
                <ptCount val="37"/>
                <pt idx="0">
                  <v>0</v>
                </pt>
                <pt idx="1">
                  <v>0.003</v>
                </pt>
                <pt idx="2">
                  <v>0.0059</v>
                </pt>
                <pt idx="3">
                  <v>0.0089</v>
                </pt>
                <pt idx="4">
                  <v>0.0119</v>
                </pt>
                <pt idx="5">
                  <v>0.0148</v>
                </pt>
                <pt idx="6">
                  <v>0.0178</v>
                </pt>
                <pt idx="7">
                  <v>0.0187</v>
                </pt>
                <pt idx="8">
                  <v>0.0196</v>
                </pt>
                <pt idx="9">
                  <v>0.0205</v>
                </pt>
                <pt idx="10">
                  <v>0.0214</v>
                </pt>
                <pt idx="11">
                  <v>0.0223</v>
                </pt>
                <pt idx="12">
                  <v>0.0233</v>
                </pt>
                <pt idx="13">
                  <v>0.0244</v>
                </pt>
                <pt idx="14">
                  <v>0.0254</v>
                </pt>
                <pt idx="15">
                  <v>0.0265</v>
                </pt>
                <pt idx="16">
                  <v>0.0275</v>
                </pt>
                <pt idx="17">
                  <v>0.0279</v>
                </pt>
                <pt idx="18">
                  <v>0.0282</v>
                </pt>
                <pt idx="19">
                  <v>0.0286</v>
                </pt>
                <pt idx="20">
                  <v>0.0289</v>
                </pt>
                <pt idx="21">
                  <v>0.0293</v>
                </pt>
                <pt idx="22">
                  <v>0.0297</v>
                </pt>
                <pt idx="23">
                  <v>0.03</v>
                </pt>
                <pt idx="24">
                  <v>0.0304</v>
                </pt>
                <pt idx="25">
                  <v>0.0307</v>
                </pt>
                <pt idx="26">
                  <v>0.0311</v>
                </pt>
                <pt idx="27">
                  <v>0.0318</v>
                </pt>
                <pt idx="28">
                  <v>0.0324</v>
                </pt>
                <pt idx="29">
                  <v>0.0331</v>
                </pt>
                <pt idx="30">
                  <v>0.0337</v>
                </pt>
                <pt idx="31">
                  <v>0.0344</v>
                </pt>
                <pt idx="32">
                  <v>0.0351</v>
                </pt>
                <pt idx="33">
                  <v>0.0357</v>
                </pt>
                <pt idx="34">
                  <v>0.0364</v>
                </pt>
                <pt idx="35">
                  <v>0.037</v>
                </pt>
                <pt idx="36">
                  <v>0.0377</v>
                </pt>
              </numCache>
            </numRef>
          </val>
        </ser>
        <ser>
          <idx val="2"/>
          <order val="2"/>
          <tx>
            <strRef>
              <f>'积极情景（NZE路径）'!$D$96</f>
              <strCache>
                <ptCount val="1"/>
                <pt idx="0">
                  <v>替代燃料(TSR)</v>
                </pt>
              </strCache>
            </strRef>
          </tx>
          <spPr>
            <a:solidFill>
              <a:srgbClr val="A5A5A5"/>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'积极情景（NZE路径）'!$D$97:$D$133</f>
              <numCache>
                <formatCode>0.0000</formatCode>
                <ptCount val="37"/>
                <pt idx="0">
                  <v>0</v>
                </pt>
                <pt idx="1">
                  <v>0.003</v>
                </pt>
                <pt idx="2">
                  <v>0.0059</v>
                </pt>
                <pt idx="3">
                  <v>0.0089</v>
                </pt>
                <pt idx="4">
                  <v>0.0119</v>
                </pt>
                <pt idx="5">
                  <v>0.0148</v>
                </pt>
                <pt idx="6">
                  <v>0.0178</v>
                </pt>
                <pt idx="7">
                  <v>0.0202</v>
                </pt>
                <pt idx="8">
                  <v>0.0226</v>
                </pt>
                <pt idx="9">
                  <v>0.025</v>
                </pt>
                <pt idx="10">
                  <v>0.0274</v>
                </pt>
                <pt idx="11">
                  <v>0.0298</v>
                </pt>
                <pt idx="12">
                  <v>0.0321</v>
                </pt>
                <pt idx="13">
                  <v>0.0344</v>
                </pt>
                <pt idx="14">
                  <v>0.0366</v>
                </pt>
                <pt idx="15">
                  <v>0.0389</v>
                </pt>
                <pt idx="16">
                  <v>0.0412</v>
                </pt>
                <pt idx="17">
                  <v>0.0425</v>
                </pt>
                <pt idx="18">
                  <v>0.0439</v>
                </pt>
                <pt idx="19">
                  <v>0.0452</v>
                </pt>
                <pt idx="20">
                  <v>0.0465</v>
                </pt>
                <pt idx="21">
                  <v>0.0479</v>
                </pt>
                <pt idx="22">
                  <v>0.0492</v>
                </pt>
                <pt idx="23">
                  <v>0.0505</v>
                </pt>
                <pt idx="24">
                  <v>0.0518</v>
                </pt>
                <pt idx="25">
                  <v>0.0532</v>
                </pt>
                <pt idx="26">
                  <v>0.0545</v>
                </pt>
                <pt idx="27">
                  <v>0.0555</v>
                </pt>
                <pt idx="28">
                  <v>0.0565</v>
                </pt>
                <pt idx="29">
                  <v>0.0576</v>
                </pt>
                <pt idx="30">
                  <v>0.0586</v>
                </pt>
                <pt idx="31">
                  <v>0.0596</v>
                </pt>
                <pt idx="32">
                  <v>0.0606</v>
                </pt>
                <pt idx="33">
                  <v>0.0616</v>
                </pt>
                <pt idx="34">
                  <v>0.06270000000000001</v>
                </pt>
                <pt idx="35">
                  <v>0.06370000000000001</v>
                </pt>
                <pt idx="36">
                  <v>0.06469999999999999</v>
                </pt>
              </numCache>
            </numRef>
          </val>
        </ser>
        <ser>
          <idx val="3"/>
          <order val="3"/>
          <tx>
            <strRef>
              <f>'积极情景（NZE路径）'!$E$96</f>
              <strCache>
                <ptCount val="1"/>
                <pt idx="0">
                  <v>熟料替代/低碳熟料</v>
                </pt>
              </strCache>
            </strRef>
          </tx>
          <spPr>
            <a:solidFill>
              <a:srgbClr val="FFC000"/>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'积极情景（NZE路径）'!$E$97:$E$133</f>
              <numCache>
                <formatCode>0.0000</formatCode>
                <ptCount val="37"/>
                <pt idx="0">
                  <v>0</v>
                </pt>
                <pt idx="1">
                  <v>0.0007</v>
                </pt>
                <pt idx="2">
                  <v>0.0015</v>
                </pt>
                <pt idx="3">
                  <v>0.0022</v>
                </pt>
                <pt idx="4">
                  <v>0.0029</v>
                </pt>
                <pt idx="5">
                  <v>0.0037</v>
                </pt>
                <pt idx="6">
                  <v>0.0044</v>
                </pt>
                <pt idx="7">
                  <v>0.0059</v>
                </pt>
                <pt idx="8">
                  <v>0.0074</v>
                </pt>
                <pt idx="9">
                  <v>0.0089</v>
                </pt>
                <pt idx="10">
                  <v>0.0104</v>
                </pt>
                <pt idx="11">
                  <v>0.0119</v>
                </pt>
                <pt idx="12">
                  <v>0.0141</v>
                </pt>
                <pt idx="13">
                  <v>0.0163</v>
                </pt>
                <pt idx="14">
                  <v>0.0185</v>
                </pt>
                <pt idx="15">
                  <v>0.0207</v>
                </pt>
                <pt idx="16">
                  <v>0.0229</v>
                </pt>
                <pt idx="17">
                  <v>0.0253</v>
                </pt>
                <pt idx="18">
                  <v>0.0277</v>
                </pt>
                <pt idx="19">
                  <v>0.03</v>
                </pt>
                <pt idx="20">
                  <v>0.0324</v>
                </pt>
                <pt idx="21">
                  <v>0.0348</v>
                </pt>
                <pt idx="22">
                  <v>0.0372</v>
                </pt>
                <pt idx="23">
                  <v>0.0396</v>
                </pt>
                <pt idx="24">
                  <v>0.0419</v>
                </pt>
                <pt idx="25">
                  <v>0.0443</v>
                </pt>
                <pt idx="26">
                  <v>0.0467</v>
                </pt>
                <pt idx="27">
                  <v>0.049</v>
                </pt>
                <pt idx="28">
                  <v>0.0514</v>
                </pt>
                <pt idx="29">
                  <v>0.0537</v>
                </pt>
                <pt idx="30">
                  <v>0.0561</v>
                </pt>
                <pt idx="31">
                  <v>0.0584</v>
                </pt>
                <pt idx="32">
                  <v>0.0607</v>
                </pt>
                <pt idx="33">
                  <v>0.0631</v>
                </pt>
                <pt idx="34">
                  <v>0.0654</v>
                </pt>
                <pt idx="35">
                  <v>0.0678</v>
                </pt>
                <pt idx="36">
                  <v>0.0701</v>
                </pt>
              </numCache>
            </numRef>
          </val>
        </ser>
        <ser>
          <idx val="4"/>
          <order val="4"/>
          <tx>
            <strRef>
              <f>'积极情景（NZE路径）'!$F$96</f>
              <strCache>
                <ptCount val="1"/>
                <pt idx="0">
                  <v>CCUS碳捕集</v>
                </pt>
              </strCache>
            </strRef>
          </tx>
          <spPr>
            <a:solidFill>
              <a:srgbClr val="5B9BD5"/>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'积极情景（NZE路径）'!$F$97:$F$133</f>
              <numCache>
                <formatCode>0.0000</formatCode>
                <ptCount val="37"/>
                <pt idx="0">
                  <v>0</v>
                </pt>
                <pt idx="1">
                  <v>0.0007</v>
                </pt>
                <pt idx="2">
                  <v>0.0015</v>
                </pt>
                <pt idx="3">
                  <v>0.0022</v>
                </pt>
                <pt idx="4">
                  <v>0.0029</v>
                </pt>
                <pt idx="5">
                  <v>0.0037</v>
                </pt>
                <pt idx="6">
                  <v>0.0044</v>
                </pt>
                <pt idx="7">
                  <v>0.0071</v>
                </pt>
                <pt idx="8">
                  <v>0.0098</v>
                </pt>
                <pt idx="9">
                  <v>0.0125</v>
                </pt>
                <pt idx="10">
                  <v>0.0152</v>
                </pt>
                <pt idx="11">
                  <v>0.0179</v>
                </pt>
                <pt idx="12">
                  <v>0.0244</v>
                </pt>
                <pt idx="13">
                  <v>0.0309</v>
                </pt>
                <pt idx="14">
                  <v>0.0374</v>
                </pt>
                <pt idx="15">
                  <v>0.0439</v>
                </pt>
                <pt idx="16">
                  <v>0.0504</v>
                </pt>
                <pt idx="17">
                  <v>0.0594</v>
                </pt>
                <pt idx="18">
                  <v>0.0683</v>
                </pt>
                <pt idx="19">
                  <v>0.07729999999999999</v>
                </pt>
                <pt idx="20">
                  <v>0.0862</v>
                </pt>
                <pt idx="21">
                  <v>0.09520000000000001</v>
                </pt>
                <pt idx="22">
                  <v>0.1042</v>
                </pt>
                <pt idx="23">
                  <v>0.1131</v>
                </pt>
                <pt idx="24">
                  <v>0.1221</v>
                </pt>
                <pt idx="25">
                  <v>0.131</v>
                </pt>
                <pt idx="26">
                  <v>0.14</v>
                </pt>
                <pt idx="27">
                  <v>0.1492</v>
                </pt>
                <pt idx="28">
                  <v>0.1584</v>
                </pt>
                <pt idx="29">
                  <v>0.1675</v>
                </pt>
                <pt idx="30">
                  <v>0.1767</v>
                </pt>
                <pt idx="31">
                  <v>0.1859</v>
                </pt>
                <pt idx="32">
                  <v>0.1951</v>
                </pt>
                <pt idx="33">
                  <v>0.2043</v>
                </pt>
                <pt idx="34">
                  <v>0.2134</v>
                </pt>
                <pt idx="35">
                  <v>0.2226</v>
                </pt>
                <pt idx="36">
                  <v>0.2318</v>
                </pt>
              </numCache>
            </numRef>
          </val>
        </ser>
        <ser>
          <idx val="5"/>
          <order val="5"/>
          <tx>
            <strRef>
              <f>'积极情景（NZE路径）'!$G$96</f>
              <strCache>
                <ptCount val="1"/>
                <pt idx="0">
                  <v>其他(碳汇/绿电等)</v>
                </pt>
              </strCache>
            </strRef>
          </tx>
          <spPr>
            <a:solidFill>
              <a:srgbClr val="70AD47"/>
            </a:solidFill>
            <a:ln w="9525" cap="flat" cmpd="sng" algn="ctr">
              <a:solidFill>
                <a:schemeClr val="lt1">
                  <a:shade val="95000"/>
                  <a:satMod val="105000"/>
                </a:schemeClr>
              </a:solidFill>
              <a:prstDash val="solid"/>
              <a:round/>
            </a:ln>
          </spPr>
          <invertIfNegative val="0"/>
          <dLbls>
            <delete val="1"/>
          </dLbls>
          <cat>
            <numRef>
              <f>'积极情景（NZE路径）'!$A$97:$A$133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'积极情景（NZE路径）'!$G$97:$G$133</f>
              <numCache>
                <formatCode>0.0000</formatCode>
                <ptCount val="37"/>
                <pt idx="0">
                  <v>0</v>
                </pt>
                <pt idx="1">
                  <v>0.0015</v>
                </pt>
                <pt idx="2">
                  <v>0.003</v>
                </pt>
                <pt idx="3">
                  <v>0.0044</v>
                </pt>
                <pt idx="4">
                  <v>0.0059</v>
                </pt>
                <pt idx="5">
                  <v>0.0074</v>
                </pt>
                <pt idx="6">
                  <v>0.0089</v>
                </pt>
                <pt idx="7">
                  <v>0.0101</v>
                </pt>
                <pt idx="8">
                  <v>0.0113</v>
                </pt>
                <pt idx="9">
                  <v>0.0125</v>
                </pt>
                <pt idx="10">
                  <v>0.0137</v>
                </pt>
                <pt idx="11">
                  <v>0.0149</v>
                </pt>
                <pt idx="12">
                  <v>0.0165</v>
                </pt>
                <pt idx="13">
                  <v>0.0181</v>
                </pt>
                <pt idx="14">
                  <v>0.0197</v>
                </pt>
                <pt idx="15">
                  <v>0.0213</v>
                </pt>
                <pt idx="16">
                  <v>0.0229</v>
                </pt>
                <pt idx="17">
                  <v>0.0245</v>
                </pt>
                <pt idx="18">
                  <v>0.0261</v>
                </pt>
                <pt idx="19">
                  <v>0.0277</v>
                </pt>
                <pt idx="20">
                  <v>0.0293</v>
                </pt>
                <pt idx="21">
                  <v>0.0309</v>
                </pt>
                <pt idx="22">
                  <v>0.0325</v>
                </pt>
                <pt idx="23">
                  <v>0.0341</v>
                </pt>
                <pt idx="24">
                  <v>0.0357</v>
                </pt>
                <pt idx="25">
                  <v>0.0373</v>
                </pt>
                <pt idx="26">
                  <v>0.0389</v>
                </pt>
                <pt idx="27">
                  <v>0.0404</v>
                </pt>
                <pt idx="28">
                  <v>0.0419</v>
                </pt>
                <pt idx="29">
                  <v>0.0434</v>
                </pt>
                <pt idx="30">
                  <v>0.0449</v>
                </pt>
                <pt idx="31">
                  <v>0.0464</v>
                </pt>
                <pt idx="32">
                  <v>0.0479</v>
                </pt>
                <pt idx="33">
                  <v>0.0494</v>
                </pt>
                <pt idx="34">
                  <v>0.0509</v>
                </pt>
                <pt idx="35">
                  <v>0.0524</v>
                </pt>
                <pt idx="36">
                  <v>0.0539</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降碳量 (tCO2/t)</a:t>
                </a:r>
              </a:p>
            </rich>
          </tx>
          <layout/>
          <overlay val="0"/>
        </title>
        <numFmt formatCode="0.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3.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碳强度下降路径（适度情景（2°C路径）★推荐基准）</a:t>
            </a:r>
          </a:p>
        </rich>
      </tx>
      <layout/>
      <overlay val="0"/>
    </title>
    <plotArea>
      <layout/>
      <lineChart>
        <grouping val="standard"/>
        <varyColors val="0"/>
        <ser>
          <idx val="0"/>
          <order val="0"/>
          <tx>
            <strRef>
              <f>'适度情景（2°C路径）'!$D$46</f>
              <strCache>
                <ptCount val="1"/>
                <pt idx="0">
                  <v>0.589</v>
                </pt>
              </strCache>
            </strRef>
          </tx>
          <spPr>
            <a:ln w="25000" cap="rnd" cmpd="sng" algn="ctr">
              <a:solidFill>
                <a:srgbClr val="4472C4"/>
              </a:solidFill>
              <a:prstDash val="solid"/>
              <a:round/>
            </a:ln>
          </spPr>
          <marker>
            <symbol val="none"/>
            <spPr>
              <a:ln>
                <a:prstDash val="solid"/>
              </a:ln>
            </spPr>
          </marker>
          <dLbls>
            <delete val="1"/>
          </dLbls>
          <cat>
            <numRef>
              <f>'适度情景（2°C路径）'!$A$47:$A$83</f>
              <numCache>
                <formatCode>0</formatCode>
                <ptCount val="37"/>
                <pt idx="0">
                  <v>2025</v>
                </pt>
                <pt idx="1">
                  <v>2026</v>
                </pt>
                <pt idx="2">
                  <v>2027</v>
                </pt>
                <pt idx="3">
                  <v>2028</v>
                </pt>
                <pt idx="4">
                  <v>2029</v>
                </pt>
                <pt idx="5">
                  <v>2030</v>
                </pt>
                <pt idx="6">
                  <v>2031</v>
                </pt>
                <pt idx="7">
                  <v>2032</v>
                </pt>
                <pt idx="8">
                  <v>2033</v>
                </pt>
                <pt idx="9">
                  <v>2034</v>
                </pt>
                <pt idx="10">
                  <v>2035</v>
                </pt>
                <pt idx="11">
                  <v>2036</v>
                </pt>
                <pt idx="12">
                  <v>2037</v>
                </pt>
                <pt idx="13">
                  <v>2038</v>
                </pt>
                <pt idx="14">
                  <v>2039</v>
                </pt>
                <pt idx="15">
                  <v>2040</v>
                </pt>
                <pt idx="16">
                  <v>2041</v>
                </pt>
                <pt idx="17">
                  <v>2042</v>
                </pt>
                <pt idx="18">
                  <v>2043</v>
                </pt>
                <pt idx="19">
                  <v>2044</v>
                </pt>
                <pt idx="20">
                  <v>2045</v>
                </pt>
                <pt idx="21">
                  <v>2046</v>
                </pt>
                <pt idx="22">
                  <v>2047</v>
                </pt>
                <pt idx="23">
                  <v>2048</v>
                </pt>
                <pt idx="24">
                  <v>2049</v>
                </pt>
                <pt idx="25">
                  <v>2050</v>
                </pt>
                <pt idx="26">
                  <v>2051</v>
                </pt>
                <pt idx="27">
                  <v>2052</v>
                </pt>
                <pt idx="28">
                  <v>2053</v>
                </pt>
                <pt idx="29">
                  <v>2054</v>
                </pt>
                <pt idx="30">
                  <v>2055</v>
                </pt>
                <pt idx="31">
                  <v>2056</v>
                </pt>
                <pt idx="32">
                  <v>2057</v>
                </pt>
                <pt idx="33">
                  <v>2058</v>
                </pt>
                <pt idx="34">
                  <v>2059</v>
                </pt>
                <pt idx="35">
                  <v>2060</v>
                </pt>
              </numCache>
            </numRef>
          </cat>
          <val>
            <numRef>
              <f>'适度情景（2°C路径）'!$D$47:$D$82</f>
              <numCache>
                <formatCode>0.000</formatCode>
                <ptCount val="36"/>
                <pt idx="0">
                  <v>0.581</v>
                </pt>
                <pt idx="1">
                  <v>0.571</v>
                </pt>
                <pt idx="2">
                  <v>0.5610000000000001</v>
                </pt>
                <pt idx="3">
                  <v>0.551</v>
                </pt>
                <pt idx="4">
                  <v>0.541</v>
                </pt>
                <pt idx="5">
                  <v>0.531</v>
                </pt>
                <pt idx="6">
                  <v>0.515</v>
                </pt>
                <pt idx="7">
                  <v>0.5</v>
                </pt>
                <pt idx="8">
                  <v>0.484</v>
                </pt>
                <pt idx="9">
                  <v>0.468</v>
                </pt>
                <pt idx="10">
                  <v>0.453</v>
                </pt>
                <pt idx="11">
                  <v>0.442</v>
                </pt>
                <pt idx="12">
                  <v>0.431</v>
                </pt>
                <pt idx="13">
                  <v>0.42</v>
                </pt>
                <pt idx="14">
                  <v>0.409</v>
                </pt>
                <pt idx="15">
                  <v>0.398</v>
                </pt>
                <pt idx="16">
                  <v>0.382</v>
                </pt>
                <pt idx="17">
                  <v>0.366</v>
                </pt>
                <pt idx="18">
                  <v>0.351</v>
                </pt>
                <pt idx="19">
                  <v>0.335</v>
                </pt>
                <pt idx="20">
                  <v>0.319</v>
                </pt>
                <pt idx="21">
                  <v>0.301</v>
                </pt>
                <pt idx="22">
                  <v>0.284</v>
                </pt>
                <pt idx="23">
                  <v>0.266</v>
                </pt>
                <pt idx="24">
                  <v>0.249</v>
                </pt>
                <pt idx="25">
                  <v>0.231</v>
                </pt>
                <pt idx="26">
                  <v>0.215</v>
                </pt>
                <pt idx="27">
                  <v>0.199</v>
                </pt>
                <pt idx="28">
                  <v>0.182</v>
                </pt>
                <pt idx="29">
                  <v>0.166</v>
                </pt>
                <pt idx="30">
                  <v>0.15</v>
                </pt>
                <pt idx="31">
                  <v>0.137</v>
                </pt>
                <pt idx="32">
                  <v>0.124</v>
                </pt>
                <pt idx="33">
                  <v>0.111</v>
                </pt>
                <pt idx="34">
                  <v>0.098</v>
                </pt>
                <pt idx="35">
                  <v>0.08500000000000001</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max val="0.65"/>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吨水泥碳强度 (tCO2/t)</a:t>
                </a:r>
              </a:p>
            </rich>
          </tx>
          <layout/>
          <overlay val="0"/>
        </title>
        <numFmt formatCode="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4.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技术路径降碳贡献分解</a:t>
            </a:r>
          </a:p>
        </rich>
      </tx>
      <layout/>
      <overlay val="0"/>
    </title>
    <plotArea>
      <layout/>
      <barChart>
        <barDir val="col"/>
        <grouping val="stacked"/>
        <varyColors val="0"/>
        <ser>
          <idx val="0"/>
          <order val="0"/>
          <tx>
            <strRef>
              <f>'适度情景（2°C路径）'!$B$96</f>
              <strCache>
                <ptCount val="1"/>
                <pt idx="0">
                  <v>产能优化/产量下降</v>
                </pt>
              </strCache>
            </strRef>
          </tx>
          <spPr>
            <a:solidFill>
              <a:srgbClr val="4472C4"/>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'适度情景（2°C路径）'!$B$97:$B$133</f>
              <numCache>
                <formatCode>0.0000</formatCode>
                <ptCount val="37"/>
                <pt idx="0">
                  <v>0</v>
                </pt>
                <pt idx="1">
                  <v>0.0043</v>
                </pt>
                <pt idx="2">
                  <v>0.008699999999999999</v>
                </pt>
                <pt idx="3">
                  <v>0.0131</v>
                </pt>
                <pt idx="4">
                  <v>0.0174</v>
                </pt>
                <pt idx="5">
                  <v>0.0218</v>
                </pt>
                <pt idx="6">
                  <v>0.0261</v>
                </pt>
                <pt idx="7">
                  <v>0.0312</v>
                </pt>
                <pt idx="8">
                  <v>0.0363</v>
                </pt>
                <pt idx="9">
                  <v>0.0415</v>
                </pt>
                <pt idx="10">
                  <v>0.0466</v>
                </pt>
                <pt idx="11">
                  <v>0.0517</v>
                </pt>
                <pt idx="12">
                  <v>0.0536</v>
                </pt>
                <pt idx="13">
                  <v>0.0555</v>
                </pt>
                <pt idx="14">
                  <v>0.0573</v>
                </pt>
                <pt idx="15">
                  <v>0.0592</v>
                </pt>
                <pt idx="16">
                  <v>0.0611</v>
                </pt>
                <pt idx="17">
                  <v>0.0639</v>
                </pt>
                <pt idx="18">
                  <v>0.0668</v>
                </pt>
                <pt idx="19">
                  <v>0.0696</v>
                </pt>
                <pt idx="20">
                  <v>0.0725</v>
                </pt>
                <pt idx="21">
                  <v>0.07530000000000001</v>
                </pt>
                <pt idx="22">
                  <v>0.0781</v>
                </pt>
                <pt idx="23">
                  <v>0.081</v>
                </pt>
                <pt idx="24">
                  <v>0.0838</v>
                </pt>
                <pt idx="25">
                  <v>0.0867</v>
                </pt>
                <pt idx="26">
                  <v>0.0895</v>
                </pt>
                <pt idx="27">
                  <v>0.0906</v>
                </pt>
                <pt idx="28">
                  <v>0.09180000000000001</v>
                </pt>
                <pt idx="29">
                  <v>0.0929</v>
                </pt>
                <pt idx="30">
                  <v>0.094</v>
                </pt>
                <pt idx="31">
                  <v>0.0951</v>
                </pt>
                <pt idx="32">
                  <v>0.0963</v>
                </pt>
                <pt idx="33">
                  <v>0.0974</v>
                </pt>
                <pt idx="34">
                  <v>0.0985</v>
                </pt>
                <pt idx="35">
                  <v>0.0997</v>
                </pt>
                <pt idx="36">
                  <v>0.1008</v>
                </pt>
              </numCache>
            </numRef>
          </val>
        </ser>
        <ser>
          <idx val="1"/>
          <order val="1"/>
          <tx>
            <strRef>
              <f>'适度情景（2°C路径）'!$C$96</f>
              <strCache>
                <ptCount val="1"/>
                <pt idx="0">
                  <v>极致能效提升</v>
                </pt>
              </strCache>
            </strRef>
          </tx>
          <spPr>
            <a:solidFill>
              <a:srgbClr val="ED7D31"/>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'适度情景（2°C路径）'!$C$97:$C$133</f>
              <numCache>
                <formatCode>0.0000</formatCode>
                <ptCount val="37"/>
                <pt idx="0">
                  <v>0</v>
                </pt>
                <pt idx="1">
                  <v>0.0021</v>
                </pt>
                <pt idx="2">
                  <v>0.0043</v>
                </pt>
                <pt idx="3">
                  <v>0.0064</v>
                </pt>
                <pt idx="4">
                  <v>0.008500000000000001</v>
                </pt>
                <pt idx="5">
                  <v>0.0107</v>
                </pt>
                <pt idx="6">
                  <v>0.0128</v>
                </pt>
                <pt idx="7">
                  <v>0.0151</v>
                </pt>
                <pt idx="8">
                  <v>0.0175</v>
                </pt>
                <pt idx="9">
                  <v>0.0198</v>
                </pt>
                <pt idx="10">
                  <v>0.0222</v>
                </pt>
                <pt idx="11">
                  <v>0.0245</v>
                </pt>
                <pt idx="12">
                  <v>0.0253</v>
                </pt>
                <pt idx="13">
                  <v>0.0261</v>
                </pt>
                <pt idx="14">
                  <v>0.027</v>
                </pt>
                <pt idx="15">
                  <v>0.0278</v>
                </pt>
                <pt idx="16">
                  <v>0.0286</v>
                </pt>
                <pt idx="17">
                  <v>0.03</v>
                </pt>
                <pt idx="18">
                  <v>0.0315</v>
                </pt>
                <pt idx="19">
                  <v>0.0329</v>
                </pt>
                <pt idx="20">
                  <v>0.0344</v>
                </pt>
                <pt idx="21">
                  <v>0.0358</v>
                </pt>
                <pt idx="22">
                  <v>0.0372</v>
                </pt>
                <pt idx="23">
                  <v>0.0387</v>
                </pt>
                <pt idx="24">
                  <v>0.0401</v>
                </pt>
                <pt idx="25">
                  <v>0.0416</v>
                </pt>
                <pt idx="26">
                  <v>0.043</v>
                </pt>
                <pt idx="27">
                  <v>0.0437</v>
                </pt>
                <pt idx="28">
                  <v>0.0445</v>
                </pt>
                <pt idx="29">
                  <v>0.0452</v>
                </pt>
                <pt idx="30">
                  <v>0.046</v>
                </pt>
                <pt idx="31">
                  <v>0.0467</v>
                </pt>
                <pt idx="32">
                  <v>0.0474</v>
                </pt>
                <pt idx="33">
                  <v>0.0482</v>
                </pt>
                <pt idx="34">
                  <v>0.0489</v>
                </pt>
                <pt idx="35">
                  <v>0.0497</v>
                </pt>
                <pt idx="36">
                  <v>0.0504</v>
                </pt>
              </numCache>
            </numRef>
          </val>
        </ser>
        <ser>
          <idx val="2"/>
          <order val="2"/>
          <tx>
            <strRef>
              <f>'适度情景（2°C路径）'!$D$96</f>
              <strCache>
                <ptCount val="1"/>
                <pt idx="0">
                  <v>替代燃料(TSR)</v>
                </pt>
              </strCache>
            </strRef>
          </tx>
          <spPr>
            <a:solidFill>
              <a:srgbClr val="A5A5A5"/>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'适度情景（2°C路径）'!$D$97:$D$133</f>
              <numCache>
                <formatCode>0.0000</formatCode>
                <ptCount val="37"/>
                <pt idx="0">
                  <v>0</v>
                </pt>
                <pt idx="1">
                  <v>0.0014</v>
                </pt>
                <pt idx="2">
                  <v>0.0029</v>
                </pt>
                <pt idx="3">
                  <v>0.0043</v>
                </pt>
                <pt idx="4">
                  <v>0.0058</v>
                </pt>
                <pt idx="5">
                  <v>0.0072</v>
                </pt>
                <pt idx="6">
                  <v>0.008699999999999999</v>
                </pt>
                <pt idx="7">
                  <v>0.0119</v>
                </pt>
                <pt idx="8">
                  <v>0.015</v>
                </pt>
                <pt idx="9">
                  <v>0.0182</v>
                </pt>
                <pt idx="10">
                  <v>0.0213</v>
                </pt>
                <pt idx="11">
                  <v>0.0245</v>
                </pt>
                <pt idx="12">
                  <v>0.0272</v>
                </pt>
                <pt idx="13">
                  <v>0.03</v>
                </pt>
                <pt idx="14">
                  <v>0.0327</v>
                </pt>
                <pt idx="15">
                  <v>0.0355</v>
                </pt>
                <pt idx="16">
                  <v>0.0382</v>
                </pt>
                <pt idx="17">
                  <v>0.0408</v>
                </pt>
                <pt idx="18">
                  <v>0.0434</v>
                </pt>
                <pt idx="19">
                  <v>0.0461</v>
                </pt>
                <pt idx="20">
                  <v>0.0487</v>
                </pt>
                <pt idx="21">
                  <v>0.0513</v>
                </pt>
                <pt idx="22">
                  <v>0.0539</v>
                </pt>
                <pt idx="23">
                  <v>0.0565</v>
                </pt>
                <pt idx="24">
                  <v>0.0592</v>
                </pt>
                <pt idx="25">
                  <v>0.0618</v>
                </pt>
                <pt idx="26">
                  <v>0.0644</v>
                </pt>
                <pt idx="27">
                  <v>0.066</v>
                </pt>
                <pt idx="28">
                  <v>0.06759999999999999</v>
                </pt>
                <pt idx="29">
                  <v>0.0693</v>
                </pt>
                <pt idx="30">
                  <v>0.0709</v>
                </pt>
                <pt idx="31">
                  <v>0.0725</v>
                </pt>
                <pt idx="32">
                  <v>0.0741</v>
                </pt>
                <pt idx="33">
                  <v>0.0757</v>
                </pt>
                <pt idx="34">
                  <v>0.0774</v>
                </pt>
                <pt idx="35">
                  <v>0.079</v>
                </pt>
                <pt idx="36">
                  <v>0.0806</v>
                </pt>
              </numCache>
            </numRef>
          </val>
        </ser>
        <ser>
          <idx val="3"/>
          <order val="3"/>
          <tx>
            <strRef>
              <f>'适度情景（2°C路径）'!$E$96</f>
              <strCache>
                <ptCount val="1"/>
                <pt idx="0">
                  <v>熟料替代/低碳熟料</v>
                </pt>
              </strCache>
            </strRef>
          </tx>
          <spPr>
            <a:solidFill>
              <a:srgbClr val="FFC000"/>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'适度情景（2°C路径）'!$E$97:$E$133</f>
              <numCache>
                <formatCode>0.0000</formatCode>
                <ptCount val="37"/>
                <pt idx="0">
                  <v>0</v>
                </pt>
                <pt idx="1">
                  <v>0.0005</v>
                </pt>
                <pt idx="2">
                  <v>0.001</v>
                </pt>
                <pt idx="3">
                  <v>0.0014</v>
                </pt>
                <pt idx="4">
                  <v>0.0019</v>
                </pt>
                <pt idx="5">
                  <v>0.0024</v>
                </pt>
                <pt idx="6">
                  <v>0.0029</v>
                </pt>
                <pt idx="7">
                  <v>0.004</v>
                </pt>
                <pt idx="8">
                  <v>0.005</v>
                </pt>
                <pt idx="9">
                  <v>0.0061</v>
                </pt>
                <pt idx="10">
                  <v>0.0071</v>
                </pt>
                <pt idx="11">
                  <v>0.008200000000000001</v>
                </pt>
                <pt idx="12">
                  <v>0.009599999999999999</v>
                </pt>
                <pt idx="13">
                  <v>0.011</v>
                </pt>
                <pt idx="14">
                  <v>0.0125</v>
                </pt>
                <pt idx="15">
                  <v>0.0139</v>
                </pt>
                <pt idx="16">
                  <v>0.0153</v>
                </pt>
                <pt idx="17">
                  <v>0.0173</v>
                </pt>
                <pt idx="18">
                  <v>0.0194</v>
                </pt>
                <pt idx="19">
                  <v>0.0214</v>
                </pt>
                <pt idx="20">
                  <v>0.0235</v>
                </pt>
                <pt idx="21">
                  <v>0.0255</v>
                </pt>
                <pt idx="22">
                  <v>0.0276</v>
                </pt>
                <pt idx="23">
                  <v>0.0296</v>
                </pt>
                <pt idx="24">
                  <v>0.0317</v>
                </pt>
                <pt idx="25">
                  <v>0.0337</v>
                </pt>
                <pt idx="26">
                  <v>0.0358</v>
                </pt>
                <pt idx="27">
                  <v>0.0383</v>
                </pt>
                <pt idx="28">
                  <v>0.0407</v>
                </pt>
                <pt idx="29">
                  <v>0.0432</v>
                </pt>
                <pt idx="30">
                  <v>0.0457</v>
                </pt>
                <pt idx="31">
                  <v>0.0481</v>
                </pt>
                <pt idx="32">
                  <v>0.0506</v>
                </pt>
                <pt idx="33">
                  <v>0.0531</v>
                </pt>
                <pt idx="34">
                  <v>0.0556</v>
                </pt>
                <pt idx="35">
                  <v>0.058</v>
                </pt>
                <pt idx="36">
                  <v>0.0605</v>
                </pt>
              </numCache>
            </numRef>
          </val>
        </ser>
        <ser>
          <idx val="4"/>
          <order val="4"/>
          <tx>
            <strRef>
              <f>'适度情景（2°C路径）'!$F$96</f>
              <strCache>
                <ptCount val="1"/>
                <pt idx="0">
                  <v>CCUS碳捕集</v>
                </pt>
              </strCache>
            </strRef>
          </tx>
          <spPr>
            <a:solidFill>
              <a:srgbClr val="5B9BD5"/>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'适度情景（2°C路径）'!$F$97:$F$133</f>
              <numCache>
                <formatCode>0.0000</formatCode>
                <ptCount val="37"/>
                <pt idx="0">
                  <v>0</v>
                </pt>
                <pt idx="1">
                  <v>0</v>
                </pt>
                <pt idx="2">
                  <v>0</v>
                </pt>
                <pt idx="3">
                  <v>0</v>
                </pt>
                <pt idx="4">
                  <v>0</v>
                </pt>
                <pt idx="5">
                  <v>0</v>
                </pt>
                <pt idx="6">
                  <v>0</v>
                </pt>
                <pt idx="7">
                  <v>0.0008</v>
                </pt>
                <pt idx="8">
                  <v>0.0016</v>
                </pt>
                <pt idx="9">
                  <v>0.0025</v>
                </pt>
                <pt idx="10">
                  <v>0.0033</v>
                </pt>
                <pt idx="11">
                  <v>0.0041</v>
                </pt>
                <pt idx="12">
                  <v>0.0071</v>
                </pt>
                <pt idx="13">
                  <v>0.0101</v>
                </pt>
                <pt idx="14">
                  <v>0.0131</v>
                </pt>
                <pt idx="15">
                  <v>0.0161</v>
                </pt>
                <pt idx="16">
                  <v>0.0191</v>
                </pt>
                <pt idx="17">
                  <v>0.0244</v>
                </pt>
                <pt idx="18">
                  <v>0.0296</v>
                </pt>
                <pt idx="19">
                  <v>0.0348</v>
                </pt>
                <pt idx="20">
                  <v>0.0401</v>
                </pt>
                <pt idx="21">
                  <v>0.0454</v>
                </pt>
                <pt idx="22">
                  <v>0.0506</v>
                </pt>
                <pt idx="23">
                  <v>0.0558</v>
                </pt>
                <pt idx="24">
                  <v>0.0611</v>
                </pt>
                <pt idx="25">
                  <v>0.0663</v>
                </pt>
                <pt idx="26">
                  <v>0.0716</v>
                </pt>
                <pt idx="27">
                  <v>0.078</v>
                </pt>
                <pt idx="28">
                  <v>0.08450000000000001</v>
                </pt>
                <pt idx="29">
                  <v>0.091</v>
                </pt>
                <pt idx="30">
                  <v>0.0974</v>
                </pt>
                <pt idx="31">
                  <v>0.1038</v>
                </pt>
                <pt idx="32">
                  <v>0.1103</v>
                </pt>
                <pt idx="33">
                  <v>0.1167</v>
                </pt>
                <pt idx="34">
                  <v>0.1232</v>
                </pt>
                <pt idx="35">
                  <v>0.1296</v>
                </pt>
                <pt idx="36">
                  <v>0.1361</v>
                </pt>
              </numCache>
            </numRef>
          </val>
        </ser>
        <ser>
          <idx val="5"/>
          <order val="5"/>
          <tx>
            <strRef>
              <f>'适度情景（2°C路径）'!$G$96</f>
              <strCache>
                <ptCount val="1"/>
                <pt idx="0">
                  <v>其他(碳汇/绿电等)</v>
                </pt>
              </strCache>
            </strRef>
          </tx>
          <spPr>
            <a:solidFill>
              <a:srgbClr val="70AD47"/>
            </a:solidFill>
            <a:ln w="9525" cap="flat" cmpd="sng" algn="ctr">
              <a:solidFill>
                <a:schemeClr val="lt1">
                  <a:shade val="95000"/>
                  <a:satMod val="105000"/>
                </a:schemeClr>
              </a:solidFill>
              <a:prstDash val="solid"/>
              <a:round/>
            </a:ln>
          </spPr>
          <invertIfNegative val="0"/>
          <dLbls>
            <delete val="1"/>
          </dLbls>
          <cat>
            <numRef>
              <f>'适度情景（2°C路径）'!$A$97:$A$133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'适度情景（2°C路径）'!$G$97:$G$133</f>
              <numCache>
                <formatCode>0.0000</formatCode>
                <ptCount val="37"/>
                <pt idx="0">
                  <v>0</v>
                </pt>
                <pt idx="1">
                  <v>0.0012</v>
                </pt>
                <pt idx="2">
                  <v>0.0025</v>
                </pt>
                <pt idx="3">
                  <v>0.0037</v>
                </pt>
                <pt idx="4">
                  <v>0.005</v>
                </pt>
                <pt idx="5">
                  <v>0.0063</v>
                </pt>
                <pt idx="6">
                  <v>0.0075</v>
                </pt>
                <pt idx="7">
                  <v>0.0106</v>
                </pt>
                <pt idx="8">
                  <v>0.0137</v>
                </pt>
                <pt idx="9">
                  <v>0.0169</v>
                </pt>
                <pt idx="10">
                  <v>0.02</v>
                </pt>
                <pt idx="11">
                  <v>0.0231</v>
                </pt>
                <pt idx="12">
                  <v>0.0242</v>
                </pt>
                <pt idx="13">
                  <v>0.0253</v>
                </pt>
                <pt idx="14">
                  <v>0.0264</v>
                </pt>
                <pt idx="15">
                  <v>0.0275</v>
                </pt>
                <pt idx="16">
                  <v>0.0286</v>
                </pt>
                <pt idx="17">
                  <v>0.0311</v>
                </pt>
                <pt idx="18">
                  <v>0.0336</v>
                </pt>
                <pt idx="19">
                  <v>0.0361</v>
                </pt>
                <pt idx="20">
                  <v>0.0386</v>
                </pt>
                <pt idx="21">
                  <v>0.0411</v>
                </pt>
                <pt idx="22">
                  <v>0.0437</v>
                </pt>
                <pt idx="23">
                  <v>0.0462</v>
                </pt>
                <pt idx="24">
                  <v>0.0487</v>
                </pt>
                <pt idx="25">
                  <v>0.0512</v>
                </pt>
                <pt idx="26">
                  <v>0.0537</v>
                </pt>
                <pt idx="27">
                  <v>0.0559</v>
                </pt>
                <pt idx="28">
                  <v>0.0581</v>
                </pt>
                <pt idx="29">
                  <v>0.0603</v>
                </pt>
                <pt idx="30">
                  <v>0.0625</v>
                </pt>
                <pt idx="31">
                  <v>0.0646</v>
                </pt>
                <pt idx="32">
                  <v>0.0668</v>
                </pt>
                <pt idx="33">
                  <v>0.06900000000000001</v>
                </pt>
                <pt idx="34">
                  <v>0.0712</v>
                </pt>
                <pt idx="35">
                  <v>0.07340000000000001</v>
                </pt>
                <pt idx="36">
                  <v>0.0756</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降碳量 (tCO2/t)</a:t>
                </a:r>
              </a:p>
            </rich>
          </tx>
          <layout/>
          <overlay val="0"/>
        </title>
        <numFmt formatCode="0.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5.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碳强度下降路径（保守情景（政策承诺））</a:t>
            </a:r>
          </a:p>
        </rich>
      </tx>
      <layout/>
      <overlay val="0"/>
    </title>
    <plotArea>
      <layout/>
      <lineChart>
        <grouping val="standard"/>
        <varyColors val="0"/>
        <ser>
          <idx val="0"/>
          <order val="0"/>
          <tx>
            <strRef>
              <f>'保守情景（政策承诺）'!$D$46</f>
              <strCache>
                <ptCount val="1"/>
                <pt idx="0">
                  <v>0.590</v>
                </pt>
              </strCache>
            </strRef>
          </tx>
          <spPr>
            <a:ln w="25000" cap="rnd" cmpd="sng" algn="ctr">
              <a:solidFill>
                <a:srgbClr val="C00000"/>
              </a:solidFill>
              <a:prstDash val="solid"/>
              <a:round/>
            </a:ln>
          </spPr>
          <marker>
            <symbol val="none"/>
            <spPr>
              <a:ln>
                <a:prstDash val="solid"/>
              </a:ln>
            </spPr>
          </marker>
          <dLbls>
            <delete val="1"/>
          </dLbls>
          <cat>
            <numRef>
              <f>'保守情景（政策承诺）'!$A$47:$A$83</f>
              <numCache>
                <formatCode>0</formatCode>
                <ptCount val="37"/>
                <pt idx="0">
                  <v>2025</v>
                </pt>
                <pt idx="1">
                  <v>2026</v>
                </pt>
                <pt idx="2">
                  <v>2027</v>
                </pt>
                <pt idx="3">
                  <v>2028</v>
                </pt>
                <pt idx="4">
                  <v>2029</v>
                </pt>
                <pt idx="5">
                  <v>2030</v>
                </pt>
                <pt idx="6">
                  <v>2031</v>
                </pt>
                <pt idx="7">
                  <v>2032</v>
                </pt>
                <pt idx="8">
                  <v>2033</v>
                </pt>
                <pt idx="9">
                  <v>2034</v>
                </pt>
                <pt idx="10">
                  <v>2035</v>
                </pt>
                <pt idx="11">
                  <v>2036</v>
                </pt>
                <pt idx="12">
                  <v>2037</v>
                </pt>
                <pt idx="13">
                  <v>2038</v>
                </pt>
                <pt idx="14">
                  <v>2039</v>
                </pt>
                <pt idx="15">
                  <v>2040</v>
                </pt>
                <pt idx="16">
                  <v>2041</v>
                </pt>
                <pt idx="17">
                  <v>2042</v>
                </pt>
                <pt idx="18">
                  <v>2043</v>
                </pt>
                <pt idx="19">
                  <v>2044</v>
                </pt>
                <pt idx="20">
                  <v>2045</v>
                </pt>
                <pt idx="21">
                  <v>2046</v>
                </pt>
                <pt idx="22">
                  <v>2047</v>
                </pt>
                <pt idx="23">
                  <v>2048</v>
                </pt>
                <pt idx="24">
                  <v>2049</v>
                </pt>
                <pt idx="25">
                  <v>2050</v>
                </pt>
                <pt idx="26">
                  <v>2051</v>
                </pt>
                <pt idx="27">
                  <v>2052</v>
                </pt>
                <pt idx="28">
                  <v>2053</v>
                </pt>
                <pt idx="29">
                  <v>2054</v>
                </pt>
                <pt idx="30">
                  <v>2055</v>
                </pt>
                <pt idx="31">
                  <v>2056</v>
                </pt>
                <pt idx="32">
                  <v>2057</v>
                </pt>
                <pt idx="33">
                  <v>2058</v>
                </pt>
                <pt idx="34">
                  <v>2059</v>
                </pt>
                <pt idx="35">
                  <v>2060</v>
                </pt>
              </numCache>
            </numRef>
          </cat>
          <val>
            <numRef>
              <f>'保守情景（政策承诺）'!$D$47:$D$82</f>
              <numCache>
                <formatCode>0.000</formatCode>
                <ptCount val="36"/>
                <pt idx="0">
                  <v>0.583</v>
                </pt>
                <pt idx="1">
                  <v>0.577</v>
                </pt>
                <pt idx="2">
                  <v>0.57</v>
                </pt>
                <pt idx="3">
                  <v>0.5629999999999999</v>
                </pt>
                <pt idx="4">
                  <v>0.5570000000000001</v>
                </pt>
                <pt idx="5">
                  <v>0.55</v>
                </pt>
                <pt idx="6">
                  <v>0.545</v>
                </pt>
                <pt idx="7">
                  <v>0.54</v>
                </pt>
                <pt idx="8">
                  <v>0.535</v>
                </pt>
                <pt idx="9">
                  <v>0.53</v>
                </pt>
                <pt idx="10">
                  <v>0.525</v>
                </pt>
                <pt idx="11">
                  <v>0.52</v>
                </pt>
                <pt idx="12">
                  <v>0.515</v>
                </pt>
                <pt idx="13">
                  <v>0.51</v>
                </pt>
                <pt idx="14">
                  <v>0.505</v>
                </pt>
                <pt idx="15">
                  <v>0.5</v>
                </pt>
                <pt idx="16">
                  <v>0.485</v>
                </pt>
                <pt idx="17">
                  <v>0.47</v>
                </pt>
                <pt idx="18">
                  <v>0.455</v>
                </pt>
                <pt idx="19">
                  <v>0.44</v>
                </pt>
                <pt idx="20">
                  <v>0.425</v>
                </pt>
                <pt idx="21">
                  <v>0.41</v>
                </pt>
                <pt idx="22">
                  <v>0.395</v>
                </pt>
                <pt idx="23">
                  <v>0.38</v>
                </pt>
                <pt idx="24">
                  <v>0.365</v>
                </pt>
                <pt idx="25">
                  <v>0.35</v>
                </pt>
                <pt idx="26">
                  <v>0.324</v>
                </pt>
                <pt idx="27">
                  <v>0.299</v>
                </pt>
                <pt idx="28">
                  <v>0.273</v>
                </pt>
                <pt idx="29">
                  <v>0.248</v>
                </pt>
                <pt idx="30">
                  <v>0.222</v>
                </pt>
                <pt idx="31">
                  <v>0.197</v>
                </pt>
                <pt idx="32">
                  <v>0.171</v>
                </pt>
                <pt idx="33">
                  <v>0.146</v>
                </pt>
                <pt idx="34">
                  <v>0.12</v>
                </pt>
                <pt idx="35">
                  <v>0.095</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max val="0.65"/>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吨水泥碳强度 (tCO2/t)</a:t>
                </a:r>
              </a:p>
            </rich>
          </tx>
          <layout/>
          <overlay val="0"/>
        </title>
        <numFmt formatCode="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plotVisOnly val="1"/>
    <dispBlanksAs val="gap"/>
  </chart>
</chartSpace>
</file>

<file path=xl/charts/chart6.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技术路径降碳贡献分解</a:t>
            </a:r>
          </a:p>
        </rich>
      </tx>
      <layout/>
      <overlay val="0"/>
    </title>
    <plotArea>
      <layout/>
      <barChart>
        <barDir val="col"/>
        <grouping val="stacked"/>
        <varyColors val="0"/>
        <ser>
          <idx val="0"/>
          <order val="0"/>
          <tx>
            <strRef>
              <f>'保守情景（政策承诺）'!$B$96</f>
              <strCache>
                <ptCount val="1"/>
                <pt idx="0">
                  <v>产能优化/产量下降</v>
                </pt>
              </strCache>
            </strRef>
          </tx>
          <spPr>
            <a:solidFill>
              <a:srgbClr val="4472C4"/>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'保守情景（政策承诺）'!$B$97:$B$133</f>
              <numCache>
                <formatCode>0.0000</formatCode>
                <ptCount val="37"/>
                <pt idx="0">
                  <v>0</v>
                </pt>
                <pt idx="1">
                  <v>0.0033</v>
                </pt>
                <pt idx="2">
                  <v>0.0067</v>
                </pt>
                <pt idx="3">
                  <v>0.01</v>
                </pt>
                <pt idx="4">
                  <v>0.0133</v>
                </pt>
                <pt idx="5">
                  <v>0.0167</v>
                </pt>
                <pt idx="6">
                  <v>0.02</v>
                </pt>
                <pt idx="7">
                  <v>0.0218</v>
                </pt>
                <pt idx="8">
                  <v>0.0237</v>
                </pt>
                <pt idx="9">
                  <v>0.0255</v>
                </pt>
                <pt idx="10">
                  <v>0.0274</v>
                </pt>
                <pt idx="11">
                  <v>0.0292</v>
                </pt>
                <pt idx="12">
                  <v>0.0306</v>
                </pt>
                <pt idx="13">
                  <v>0.0319</v>
                </pt>
                <pt idx="14">
                  <v>0.0333</v>
                </pt>
                <pt idx="15">
                  <v>0.0346</v>
                </pt>
                <pt idx="16">
                  <v>0.036</v>
                </pt>
                <pt idx="17">
                  <v>0.0401</v>
                </pt>
                <pt idx="18">
                  <v>0.0442</v>
                </pt>
                <pt idx="19">
                  <v>0.0482</v>
                </pt>
                <pt idx="20">
                  <v>0.0523</v>
                </pt>
                <pt idx="21">
                  <v>0.0564</v>
                </pt>
                <pt idx="22">
                  <v>0.0605</v>
                </pt>
                <pt idx="23">
                  <v>0.0646</v>
                </pt>
                <pt idx="24">
                  <v>0.06859999999999999</v>
                </pt>
                <pt idx="25">
                  <v>0.0727</v>
                </pt>
                <pt idx="26">
                  <v>0.07679999999999999</v>
                </pt>
                <pt idx="27">
                  <v>0.0815</v>
                </pt>
                <pt idx="28">
                  <v>0.0862</v>
                </pt>
                <pt idx="29">
                  <v>0.09089999999999999</v>
                </pt>
                <pt idx="30">
                  <v>0.0956</v>
                </pt>
                <pt idx="31">
                  <v>0.1003</v>
                </pt>
                <pt idx="32">
                  <v>0.1049</v>
                </pt>
                <pt idx="33">
                  <v>0.1096</v>
                </pt>
                <pt idx="34">
                  <v>0.1143</v>
                </pt>
                <pt idx="35">
                  <v>0.119</v>
                </pt>
                <pt idx="36">
                  <v>0.1237</v>
                </pt>
              </numCache>
            </numRef>
          </val>
        </ser>
        <ser>
          <idx val="1"/>
          <order val="1"/>
          <tx>
            <strRef>
              <f>'保守情景（政策承诺）'!$C$96</f>
              <strCache>
                <ptCount val="1"/>
                <pt idx="0">
                  <v>极致能效提升</v>
                </pt>
              </strCache>
            </strRef>
          </tx>
          <spPr>
            <a:solidFill>
              <a:srgbClr val="ED7D31"/>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'保守情景（政策承诺）'!$C$97:$C$133</f>
              <numCache>
                <formatCode>0.0000</formatCode>
                <ptCount val="37"/>
                <pt idx="0">
                  <v>0</v>
                </pt>
                <pt idx="1">
                  <v>0.0017</v>
                </pt>
                <pt idx="2">
                  <v>0.0033</v>
                </pt>
                <pt idx="3">
                  <v>0.005</v>
                </pt>
                <pt idx="4">
                  <v>0.0067</v>
                </pt>
                <pt idx="5">
                  <v>0.0083</v>
                </pt>
                <pt idx="6">
                  <v>0.01</v>
                </pt>
                <pt idx="7">
                  <v>0.0106</v>
                </pt>
                <pt idx="8">
                  <v>0.0112</v>
                </pt>
                <pt idx="9">
                  <v>0.0118</v>
                </pt>
                <pt idx="10">
                  <v>0.0124</v>
                </pt>
                <pt idx="11">
                  <v>0.013</v>
                </pt>
                <pt idx="12">
                  <v>0.0136</v>
                </pt>
                <pt idx="13">
                  <v>0.0143</v>
                </pt>
                <pt idx="14">
                  <v>0.0149</v>
                </pt>
                <pt idx="15">
                  <v>0.0156</v>
                </pt>
                <pt idx="16">
                  <v>0.0162</v>
                </pt>
                <pt idx="17">
                  <v>0.0182</v>
                </pt>
                <pt idx="18">
                  <v>0.0202</v>
                </pt>
                <pt idx="19">
                  <v>0.0221</v>
                </pt>
                <pt idx="20">
                  <v>0.0241</v>
                </pt>
                <pt idx="21">
                  <v>0.0261</v>
                </pt>
                <pt idx="22">
                  <v>0.0281</v>
                </pt>
                <pt idx="23">
                  <v>0.0301</v>
                </pt>
                <pt idx="24">
                  <v>0.032</v>
                </pt>
                <pt idx="25">
                  <v>0.034</v>
                </pt>
                <pt idx="26">
                  <v>0.036</v>
                </pt>
                <pt idx="27">
                  <v>0.0388</v>
                </pt>
                <pt idx="28">
                  <v>0.0417</v>
                </pt>
                <pt idx="29">
                  <v>0.0445</v>
                </pt>
                <pt idx="30">
                  <v>0.0474</v>
                </pt>
                <pt idx="31">
                  <v>0.0502</v>
                </pt>
                <pt idx="32">
                  <v>0.053</v>
                </pt>
                <pt idx="33">
                  <v>0.0559</v>
                </pt>
                <pt idx="34">
                  <v>0.0587</v>
                </pt>
                <pt idx="35">
                  <v>0.0616</v>
                </pt>
                <pt idx="36">
                  <v>0.0644</v>
                </pt>
              </numCache>
            </numRef>
          </val>
        </ser>
        <ser>
          <idx val="2"/>
          <order val="2"/>
          <tx>
            <strRef>
              <f>'保守情景（政策承诺）'!$D$96</f>
              <strCache>
                <ptCount val="1"/>
                <pt idx="0">
                  <v>替代燃料(TSR)</v>
                </pt>
              </strCache>
            </strRef>
          </tx>
          <spPr>
            <a:solidFill>
              <a:srgbClr val="A5A5A5"/>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'保守情景（政策承诺）'!$D$97:$D$133</f>
              <numCache>
                <formatCode>0.0000</formatCode>
                <ptCount val="37"/>
                <pt idx="0">
                  <v>0</v>
                </pt>
                <pt idx="1">
                  <v>0.001</v>
                </pt>
                <pt idx="2">
                  <v>0.002</v>
                </pt>
                <pt idx="3">
                  <v>0.003</v>
                </pt>
                <pt idx="4">
                  <v>0.004</v>
                </pt>
                <pt idx="5">
                  <v>0.005</v>
                </pt>
                <pt idx="6">
                  <v>0.006</v>
                </pt>
                <pt idx="7">
                  <v>0.0067</v>
                </pt>
                <pt idx="8">
                  <v>0.0075</v>
                </pt>
                <pt idx="9">
                  <v>0.008200000000000001</v>
                </pt>
                <pt idx="10">
                  <v>0.008999999999999999</v>
                </pt>
                <pt idx="11">
                  <v>0.0097</v>
                </pt>
                <pt idx="12">
                  <v>0.011</v>
                </pt>
                <pt idx="13">
                  <v>0.0123</v>
                </pt>
                <pt idx="14">
                  <v>0.0136</v>
                </pt>
                <pt idx="15">
                  <v>0.0149</v>
                </pt>
                <pt idx="16">
                  <v>0.0162</v>
                </pt>
                <pt idx="17">
                  <v>0.0189</v>
                </pt>
                <pt idx="18">
                  <v>0.0216</v>
                </pt>
                <pt idx="19">
                  <v>0.0243</v>
                </pt>
                <pt idx="20">
                  <v>0.027</v>
                </pt>
                <pt idx="21">
                  <v>0.0297</v>
                </pt>
                <pt idx="22">
                  <v>0.0324</v>
                </pt>
                <pt idx="23">
                  <v>0.0351</v>
                </pt>
                <pt idx="24">
                  <v>0.0378</v>
                </pt>
                <pt idx="25">
                  <v>0.0405</v>
                </pt>
                <pt idx="26">
                  <v>0.0432</v>
                </pt>
                <pt idx="27">
                  <v>0.0468</v>
                </pt>
                <pt idx="28">
                  <v>0.0504</v>
                </pt>
                <pt idx="29">
                  <v>0.054</v>
                </pt>
                <pt idx="30">
                  <v>0.0576</v>
                </pt>
                <pt idx="31">
                  <v>0.0612</v>
                </pt>
                <pt idx="32">
                  <v>0.0648</v>
                </pt>
                <pt idx="33">
                  <v>0.0684</v>
                </pt>
                <pt idx="34">
                  <v>0.07199999999999999</v>
                </pt>
                <pt idx="35">
                  <v>0.0756</v>
                </pt>
                <pt idx="36">
                  <v>0.07920000000000001</v>
                </pt>
              </numCache>
            </numRef>
          </val>
        </ser>
        <ser>
          <idx val="3"/>
          <order val="3"/>
          <tx>
            <strRef>
              <f>'保守情景（政策承诺）'!$E$96</f>
              <strCache>
                <ptCount val="1"/>
                <pt idx="0">
                  <v>熟料替代/低碳熟料</v>
                </pt>
              </strCache>
            </strRef>
          </tx>
          <spPr>
            <a:solidFill>
              <a:srgbClr val="FFC000"/>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'保守情景（政策承诺）'!$E$97:$E$133</f>
              <numCache>
                <formatCode>0.0000</formatCode>
                <ptCount val="37"/>
                <pt idx="0">
                  <v>0</v>
                </pt>
                <pt idx="1">
                  <v>0.0003</v>
                </pt>
                <pt idx="2">
                  <v>0.0007</v>
                </pt>
                <pt idx="3">
                  <v>0.001</v>
                </pt>
                <pt idx="4">
                  <v>0.0013</v>
                </pt>
                <pt idx="5">
                  <v>0.0017</v>
                </pt>
                <pt idx="6">
                  <v>0.002</v>
                </pt>
                <pt idx="7">
                  <v>0.0022</v>
                </pt>
                <pt idx="8">
                  <v>0.0025</v>
                </pt>
                <pt idx="9">
                  <v>0.0027</v>
                </pt>
                <pt idx="10">
                  <v>0.003</v>
                </pt>
                <pt idx="11">
                  <v>0.0032</v>
                </pt>
                <pt idx="12">
                  <v>0.0038</v>
                </pt>
                <pt idx="13">
                  <v>0.0044</v>
                </pt>
                <pt idx="14">
                  <v>0.0051</v>
                </pt>
                <pt idx="15">
                  <v>0.0057</v>
                </pt>
                <pt idx="16">
                  <v>0.0063</v>
                </pt>
                <pt idx="17">
                  <v>0.0076</v>
                </pt>
                <pt idx="18">
                  <v>0.0089</v>
                </pt>
                <pt idx="19">
                  <v>0.0102</v>
                </pt>
                <pt idx="20">
                  <v>0.0115</v>
                </pt>
                <pt idx="21">
                  <v>0.0127</v>
                </pt>
                <pt idx="22">
                  <v>0.014</v>
                </pt>
                <pt idx="23">
                  <v>0.0153</v>
                </pt>
                <pt idx="24">
                  <v>0.0166</v>
                </pt>
                <pt idx="25">
                  <v>0.0179</v>
                </pt>
                <pt idx="26">
                  <v>0.0192</v>
                </pt>
                <pt idx="27">
                  <v>0.0222</v>
                </pt>
                <pt idx="28">
                  <v>0.0253</v>
                </pt>
                <pt idx="29">
                  <v>0.0283</v>
                </pt>
                <pt idx="30">
                  <v>0.0313</v>
                </pt>
                <pt idx="31">
                  <v>0.0343</v>
                </pt>
                <pt idx="32">
                  <v>0.0374</v>
                </pt>
                <pt idx="33">
                  <v>0.0404</v>
                </pt>
                <pt idx="34">
                  <v>0.0434</v>
                </pt>
                <pt idx="35">
                  <v>0.0465</v>
                </pt>
                <pt idx="36">
                  <v>0.0495</v>
                </pt>
              </numCache>
            </numRef>
          </val>
        </ser>
        <ser>
          <idx val="4"/>
          <order val="4"/>
          <tx>
            <strRef>
              <f>'保守情景（政策承诺）'!$F$96</f>
              <strCache>
                <ptCount val="1"/>
                <pt idx="0">
                  <v>CCUS碳捕集</v>
                </pt>
              </strCache>
            </strRef>
          </tx>
          <spPr>
            <a:solidFill>
              <a:srgbClr val="5B9BD5"/>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'保守情景（政策承诺）'!$F$97:$F$133</f>
              <numCache>
                <formatCode>0.0000</formatCode>
                <ptCount val="37"/>
                <pt idx="0">
                  <v>0</v>
                </pt>
                <pt idx="1">
                  <v>0</v>
                </pt>
                <pt idx="2">
                  <v>0</v>
                </pt>
                <pt idx="3">
                  <v>0</v>
                </pt>
                <pt idx="4">
                  <v>0</v>
                </pt>
                <pt idx="5">
                  <v>0</v>
                </pt>
                <pt idx="6">
                  <v>0</v>
                </pt>
                <pt idx="7">
                  <v>0.0004</v>
                </pt>
                <pt idx="8">
                  <v>0.0008</v>
                </pt>
                <pt idx="9">
                  <v>0.0011</v>
                </pt>
                <pt idx="10">
                  <v>0.0015</v>
                </pt>
                <pt idx="11">
                  <v>0.0019</v>
                </pt>
                <pt idx="12">
                  <v>0.0024</v>
                </pt>
                <pt idx="13">
                  <v>0.0029</v>
                </pt>
                <pt idx="14">
                  <v>0.0035</v>
                </pt>
                <pt idx="15">
                  <v>0.004</v>
                </pt>
                <pt idx="16">
                  <v>0.0045</v>
                </pt>
                <pt idx="17">
                  <v>0.0076</v>
                </pt>
                <pt idx="18">
                  <v>0.0108</v>
                </pt>
                <pt idx="19">
                  <v>0.014</v>
                </pt>
                <pt idx="20">
                  <v>0.0171</v>
                </pt>
                <pt idx="21">
                  <v>0.0203</v>
                </pt>
                <pt idx="22">
                  <v>0.0234</v>
                </pt>
                <pt idx="23">
                  <v>0.0266</v>
                </pt>
                <pt idx="24">
                  <v>0.0297</v>
                </pt>
                <pt idx="25">
                  <v>0.0328</v>
                </pt>
                <pt idx="26">
                  <v>0.036</v>
                </pt>
                <pt idx="27">
                  <v>0.0443</v>
                </pt>
                <pt idx="28">
                  <v>0.0526</v>
                </pt>
                <pt idx="29">
                  <v>0.0608</v>
                </pt>
                <pt idx="30">
                  <v>0.06909999999999999</v>
                </pt>
                <pt idx="31">
                  <v>0.0774</v>
                </pt>
                <pt idx="32">
                  <v>0.0857</v>
                </pt>
                <pt idx="33">
                  <v>0.094</v>
                </pt>
                <pt idx="34">
                  <v>0.1022</v>
                </pt>
                <pt idx="35">
                  <v>0.1105</v>
                </pt>
                <pt idx="36">
                  <v>0.1188</v>
                </pt>
              </numCache>
            </numRef>
          </val>
        </ser>
        <ser>
          <idx val="5"/>
          <order val="5"/>
          <tx>
            <strRef>
              <f>'保守情景（政策承诺）'!$G$96</f>
              <strCache>
                <ptCount val="1"/>
                <pt idx="0">
                  <v>其他(碳汇/绿电等)</v>
                </pt>
              </strCache>
            </strRef>
          </tx>
          <spPr>
            <a:solidFill>
              <a:srgbClr val="70AD47"/>
            </a:solidFill>
            <a:ln w="9525" cap="flat" cmpd="sng" algn="ctr">
              <a:solidFill>
                <a:schemeClr val="lt1">
                  <a:shade val="95000"/>
                  <a:satMod val="105000"/>
                </a:schemeClr>
              </a:solidFill>
              <a:prstDash val="solid"/>
              <a:round/>
            </a:ln>
          </spPr>
          <invertIfNegative val="0"/>
          <dLbls>
            <delete val="1"/>
          </dLbls>
          <cat>
            <numRef>
              <f>'保守情景（政策承诺）'!$A$97:$A$133</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'保守情景（政策承诺）'!$G$97:$G$133</f>
              <numCache>
                <formatCode>0.0000</formatCode>
                <ptCount val="37"/>
                <pt idx="0">
                  <v>0</v>
                </pt>
                <pt idx="1">
                  <v>0.0003</v>
                </pt>
                <pt idx="2">
                  <v>0.0007</v>
                </pt>
                <pt idx="3">
                  <v>0.001</v>
                </pt>
                <pt idx="4">
                  <v>0.0013</v>
                </pt>
                <pt idx="5">
                  <v>0.0017</v>
                </pt>
                <pt idx="6">
                  <v>0.002</v>
                </pt>
                <pt idx="7">
                  <v>0.0032</v>
                </pt>
                <pt idx="8">
                  <v>0.0043</v>
                </pt>
                <pt idx="9">
                  <v>0.0055</v>
                </pt>
                <pt idx="10">
                  <v>0.0066</v>
                </pt>
                <pt idx="11">
                  <v>0.0078</v>
                </pt>
                <pt idx="12">
                  <v>0.008399999999999999</v>
                </pt>
                <pt idx="13">
                  <v>0.008999999999999999</v>
                </pt>
                <pt idx="14">
                  <v>0.009599999999999999</v>
                </pt>
                <pt idx="15">
                  <v>0.0102</v>
                </pt>
                <pt idx="16">
                  <v>0.0108</v>
                </pt>
                <pt idx="17">
                  <v>0.0126</v>
                </pt>
                <pt idx="18">
                  <v>0.0144</v>
                </pt>
                <pt idx="19">
                  <v>0.0162</v>
                </pt>
                <pt idx="20">
                  <v>0.018</v>
                </pt>
                <pt idx="21">
                  <v>0.0198</v>
                </pt>
                <pt idx="22">
                  <v>0.0216</v>
                </pt>
                <pt idx="23">
                  <v>0.0234</v>
                </pt>
                <pt idx="24">
                  <v>0.0252</v>
                </pt>
                <pt idx="25">
                  <v>0.027</v>
                </pt>
                <pt idx="26">
                  <v>0.0288</v>
                </pt>
                <pt idx="27">
                  <v>0.0319</v>
                </pt>
                <pt idx="28">
                  <v>0.0349</v>
                </pt>
                <pt idx="29">
                  <v>0.038</v>
                </pt>
                <pt idx="30">
                  <v>0.041</v>
                </pt>
                <pt idx="31">
                  <v>0.0441</v>
                </pt>
                <pt idx="32">
                  <v>0.0472</v>
                </pt>
                <pt idx="33">
                  <v>0.0502</v>
                </pt>
                <pt idx="34">
                  <v>0.0533</v>
                </pt>
                <pt idx="35">
                  <v>0.0563</v>
                </pt>
                <pt idx="36">
                  <v>0.0594</v>
                </pt>
              </numCache>
            </numRef>
          </val>
        </ser>
        <dLbls>
          <showLegendKey val="0"/>
          <showVal val="0"/>
          <showCatName val="0"/>
          <showSerName val="0"/>
          <showPercent val="0"/>
          <showBubbleSize val="0"/>
        </dLbls>
        <gapWidth val="150"/>
        <axId val="10"/>
        <axId val="100"/>
      </bar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降碳量 (tCO2/t)</a:t>
                </a:r>
              </a:p>
            </rich>
          </tx>
          <layout/>
          <overlay val="0"/>
        </title>
        <numFmt formatCode="0.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7.xml><?xml version="1.0" encoding="utf-8"?>
<chartSpace xmlns:a="http://schemas.openxmlformats.org/drawingml/2006/main" xmlns="http://schemas.openxmlformats.org/drawingml/2006/chart">
  <chart>
    <plotArea>
      <layout/>
      <lineChart>
        <grouping val="standard"/>
        <varyColors val="0"/>
        <ser>
          <idx val="0"/>
          <order val="0"/>
          <tx>
            <strRef>
              <f>三情景综合对比!$B$5</f>
              <strCache>
                <ptCount val="1"/>
                <pt idx="0">
                  <v>保守情景碳强度</v>
                </pt>
              </strCache>
            </strRef>
          </tx>
          <spPr>
            <a:ln w="22000" cap="rnd" cmpd="sng" algn="ctr">
              <a:solidFill>
                <a:srgbClr val="C00000"/>
              </a:solidFill>
              <a:prstDash val="solid"/>
              <a:round/>
            </a:ln>
          </spPr>
          <marker>
            <symbol val="none"/>
            <spPr>
              <a:ln>
                <a:prstDash val="solid"/>
              </a:ln>
            </spPr>
          </marker>
          <dLbls>
            <delete val="1"/>
          </dLbls>
          <cat>
            <numRef>
              <f>三情景综合对比!$A$6:$A$42</f>
              <numCache>
                <formatCode>General</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三情景综合对比!$B$6:$B$42</f>
              <numCache>
                <formatCode>0.000</formatCode>
                <ptCount val="37"/>
                <pt idx="0">
                  <v>0.59</v>
                </pt>
                <pt idx="1">
                  <v>0.583</v>
                </pt>
                <pt idx="2">
                  <v>0.577</v>
                </pt>
                <pt idx="3">
                  <v>0.57</v>
                </pt>
                <pt idx="4">
                  <v>0.5629999999999999</v>
                </pt>
                <pt idx="5">
                  <v>0.5570000000000001</v>
                </pt>
                <pt idx="6">
                  <v>0.55</v>
                </pt>
                <pt idx="7">
                  <v>0.541</v>
                </pt>
                <pt idx="8">
                  <v>0.533</v>
                </pt>
                <pt idx="9">
                  <v>0.524</v>
                </pt>
                <pt idx="10">
                  <v>0.516</v>
                </pt>
                <pt idx="11">
                  <v>0.507</v>
                </pt>
                <pt idx="12">
                  <v>0.497</v>
                </pt>
                <pt idx="13">
                  <v>0.487</v>
                </pt>
                <pt idx="14">
                  <v>0.476</v>
                </pt>
                <pt idx="15">
                  <v>0.466</v>
                </pt>
                <pt idx="16">
                  <v>0.455</v>
                </pt>
                <pt idx="17">
                  <v>0.44</v>
                </pt>
                <pt idx="18">
                  <v>0.425</v>
                </pt>
                <pt idx="19">
                  <v>0.41</v>
                </pt>
                <pt idx="20">
                  <v>0.395</v>
                </pt>
                <pt idx="21">
                  <v>0.38</v>
                </pt>
                <pt idx="22">
                  <v>0.362</v>
                </pt>
                <pt idx="23">
                  <v>0.344</v>
                </pt>
                <pt idx="24">
                  <v>0.326</v>
                </pt>
                <pt idx="25">
                  <v>0.308</v>
                </pt>
                <pt idx="26">
                  <v>0.29</v>
                </pt>
                <pt idx="27">
                  <v>0.269</v>
                </pt>
                <pt idx="28">
                  <v>0.248</v>
                </pt>
                <pt idx="29">
                  <v>0.227</v>
                </pt>
                <pt idx="30">
                  <v>0.206</v>
                </pt>
                <pt idx="31">
                  <v>0.185</v>
                </pt>
                <pt idx="32">
                  <v>0.164</v>
                </pt>
                <pt idx="33">
                  <v>0.143</v>
                </pt>
                <pt idx="34">
                  <v>0.122</v>
                </pt>
                <pt idx="35">
                  <v>0.101</v>
                </pt>
                <pt idx="36">
                  <v>0.08</v>
                </pt>
              </numCache>
            </numRef>
          </val>
          <smooth val="1"/>
        </ser>
        <ser>
          <idx val="1"/>
          <order val="1"/>
          <tx>
            <strRef>
              <f>三情景综合对比!$D$5</f>
              <strCache>
                <ptCount val="1"/>
                <pt idx="0">
                  <v>适度情景碳强度</v>
                </pt>
              </strCache>
            </strRef>
          </tx>
          <spPr>
            <a:ln w="25000" cap="rnd" cmpd="sng" algn="ctr">
              <a:solidFill>
                <a:srgbClr val="4472C4"/>
              </a:solidFill>
              <a:prstDash val="dash"/>
              <a:round/>
            </a:ln>
          </spPr>
          <marker>
            <symbol val="none"/>
            <spPr>
              <a:ln>
                <a:prstDash val="solid"/>
              </a:ln>
            </spPr>
          </marker>
          <dLbls>
            <delete val="1"/>
          </dLbls>
          <cat>
            <numRef>
              <f>三情景综合对比!$A$6:$A$42</f>
              <numCache>
                <formatCode>General</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三情景综合对比!$D$6:$D$42</f>
              <numCache>
                <formatCode>0.000</formatCode>
                <ptCount val="37"/>
                <pt idx="0">
                  <v>0.589</v>
                </pt>
                <pt idx="1">
                  <v>0.581</v>
                </pt>
                <pt idx="2">
                  <v>0.571</v>
                </pt>
                <pt idx="3">
                  <v>0.5610000000000001</v>
                </pt>
                <pt idx="4">
                  <v>0.551</v>
                </pt>
                <pt idx="5">
                  <v>0.541</v>
                </pt>
                <pt idx="6">
                  <v>0.531</v>
                </pt>
                <pt idx="7">
                  <v>0.515</v>
                </pt>
                <pt idx="8">
                  <v>0.5</v>
                </pt>
                <pt idx="9">
                  <v>0.484</v>
                </pt>
                <pt idx="10">
                  <v>0.468</v>
                </pt>
                <pt idx="11">
                  <v>0.453</v>
                </pt>
                <pt idx="12">
                  <v>0.441</v>
                </pt>
                <pt idx="13">
                  <v>0.429</v>
                </pt>
                <pt idx="14">
                  <v>0.417</v>
                </pt>
                <pt idx="15">
                  <v>0.405</v>
                </pt>
                <pt idx="16">
                  <v>0.393</v>
                </pt>
                <pt idx="17">
                  <v>0.375</v>
                </pt>
                <pt idx="18">
                  <v>0.358</v>
                </pt>
                <pt idx="19">
                  <v>0.341</v>
                </pt>
                <pt idx="20">
                  <v>0.324</v>
                </pt>
                <pt idx="21">
                  <v>0.306</v>
                </pt>
                <pt idx="22">
                  <v>0.287</v>
                </pt>
                <pt idx="23">
                  <v>0.268</v>
                </pt>
                <pt idx="24">
                  <v>0.248</v>
                </pt>
                <pt idx="25">
                  <v>0.23</v>
                </pt>
                <pt idx="26">
                  <v>0.21</v>
                </pt>
                <pt idx="27">
                  <v>0.192</v>
                </pt>
                <pt idx="28">
                  <v>0.175</v>
                </pt>
                <pt idx="29">
                  <v>0.156</v>
                </pt>
                <pt idx="30">
                  <v>0.139</v>
                </pt>
                <pt idx="31">
                  <v>0.121</v>
                </pt>
                <pt idx="32">
                  <v>0.107</v>
                </pt>
                <pt idx="33">
                  <v>0.093</v>
                </pt>
                <pt idx="34">
                  <v>0.078</v>
                </pt>
                <pt idx="35">
                  <v>0.064</v>
                </pt>
                <pt idx="36">
                  <v>0.05</v>
                </pt>
              </numCache>
            </numRef>
          </val>
          <smooth val="1"/>
        </ser>
        <ser>
          <idx val="2"/>
          <order val="2"/>
          <tx>
            <strRef>
              <f>三情景综合对比!$F$5</f>
              <strCache>
                <ptCount val="1"/>
                <pt idx="0">
                  <v>积极情景碳强度</v>
                </pt>
              </strCache>
            </strRef>
          </tx>
          <spPr>
            <a:ln w="22000" cap="rnd" cmpd="sng" algn="ctr">
              <a:solidFill>
                <a:srgbClr val="548235"/>
              </a:solidFill>
              <a:prstDash val="solid"/>
              <a:round/>
            </a:ln>
          </spPr>
          <marker>
            <symbol val="none"/>
            <spPr>
              <a:ln>
                <a:prstDash val="solid"/>
              </a:ln>
            </spPr>
          </marker>
          <dLbls>
            <delete val="1"/>
          </dLbls>
          <cat>
            <numRef>
              <f>三情景综合对比!$A$6:$A$42</f>
              <numCache>
                <formatCode>General</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三情景综合对比!$F$6:$F$42</f>
              <numCache>
                <formatCode>0.000</formatCode>
                <ptCount val="37"/>
                <pt idx="0">
                  <v>0.589</v>
                </pt>
                <pt idx="1">
                  <v>0.573</v>
                </pt>
                <pt idx="2">
                  <v>0.5580000000000001</v>
                </pt>
                <pt idx="3">
                  <v>0.542</v>
                </pt>
                <pt idx="4">
                  <v>0.527</v>
                </pt>
                <pt idx="5">
                  <v>0.512</v>
                </pt>
                <pt idx="6">
                  <v>0.496</v>
                </pt>
                <pt idx="7">
                  <v>0.483</v>
                </pt>
                <pt idx="8">
                  <v>0.471</v>
                </pt>
                <pt idx="9">
                  <v>0.458</v>
                </pt>
                <pt idx="10">
                  <v>0.446</v>
                </pt>
                <pt idx="11">
                  <v>0.433</v>
                </pt>
                <pt idx="12">
                  <v>0.416</v>
                </pt>
                <pt idx="13">
                  <v>0.4</v>
                </pt>
                <pt idx="14">
                  <v>0.383</v>
                </pt>
                <pt idx="15">
                  <v>0.366</v>
                </pt>
                <pt idx="16">
                  <v>0.349</v>
                </pt>
                <pt idx="17">
                  <v>0.333</v>
                </pt>
                <pt idx="18">
                  <v>0.316</v>
                </pt>
                <pt idx="19">
                  <v>0.299</v>
                </pt>
                <pt idx="20">
                  <v>0.282</v>
                </pt>
                <pt idx="21">
                  <v>0.266</v>
                </pt>
                <pt idx="22">
                  <v>0.249</v>
                </pt>
                <pt idx="23">
                  <v>0.232</v>
                </pt>
                <pt idx="24">
                  <v>0.216</v>
                </pt>
                <pt idx="25">
                  <v>0.199</v>
                </pt>
                <pt idx="26">
                  <v>0.182</v>
                </pt>
                <pt idx="27">
                  <v>0.166</v>
                </pt>
                <pt idx="28">
                  <v>0.151</v>
                </pt>
                <pt idx="29">
                  <v>0.135</v>
                </pt>
                <pt idx="30">
                  <v>0.119</v>
                </pt>
                <pt idx="31">
                  <v>0.104</v>
                </pt>
                <pt idx="32">
                  <v>0.08799999999999999</v>
                </pt>
                <pt idx="33">
                  <v>0.07199999999999999</v>
                </pt>
                <pt idx="34">
                  <v>0.056</v>
                </pt>
                <pt idx="35">
                  <v>0.041</v>
                </pt>
                <pt idx="36">
                  <v>0.025</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max val="0.65"/>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吨水泥碳强度 (tCO2/t)</a:t>
                </a:r>
              </a:p>
            </rich>
          </tx>
          <layout/>
          <overlay val="0"/>
        </title>
        <numFmt formatCode="0.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8.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三种情景CO2排放路径对比</a:t>
            </a:r>
          </a:p>
        </rich>
      </tx>
      <layout/>
      <overlay val="0"/>
    </title>
    <plotArea>
      <layout/>
      <lineChart>
        <grouping val="standard"/>
        <varyColors val="0"/>
        <ser>
          <idx val="0"/>
          <order val="0"/>
          <tx>
            <strRef>
              <f>三情景综合对比!$B$78</f>
              <strCache>
                <ptCount val="1"/>
                <pt idx="0">
                  <v>保守情景CO2(亿吨)</v>
                </pt>
              </strCache>
            </strRef>
          </tx>
          <spPr>
            <a:ln w="22000" cap="rnd" cmpd="sng" algn="ctr">
              <a:solidFill>
                <a:srgbClr val="C00000"/>
              </a:solidFill>
              <a:prstDash val="solid"/>
              <a:round/>
            </a:ln>
          </spPr>
          <marker>
            <symbol val="none"/>
            <spPr>
              <a:ln>
                <a:prstDash val="solid"/>
              </a:ln>
            </spPr>
          </marker>
          <dLbls>
            <delete val="1"/>
          </dLbls>
          <cat>
            <numRef>
              <f>三情景综合对比!$A$79:$A$115</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三情景综合对比!$B$79:$B$115</f>
              <numCache>
                <formatCode>0.00</formatCode>
                <ptCount val="37"/>
                <pt idx="0">
                  <v>10.8</v>
                </pt>
                <pt idx="1">
                  <v>10.03</v>
                </pt>
                <pt idx="2">
                  <v>9.460000000000001</v>
                </pt>
                <pt idx="3">
                  <v>9.01</v>
                </pt>
                <pt idx="4">
                  <v>8.56</v>
                </pt>
                <pt idx="5">
                  <v>8.08</v>
                </pt>
                <pt idx="6">
                  <v>7.37</v>
                </pt>
                <pt idx="7">
                  <v>7.25</v>
                </pt>
                <pt idx="8">
                  <v>7.13</v>
                </pt>
                <pt idx="9">
                  <v>7.01</v>
                </pt>
                <pt idx="10">
                  <v>6.89</v>
                </pt>
                <pt idx="11">
                  <v>6.77</v>
                </pt>
                <pt idx="12">
                  <v>6.6</v>
                </pt>
                <pt idx="13">
                  <v>6.39</v>
                </pt>
                <pt idx="14">
                  <v>6.22</v>
                </pt>
                <pt idx="15">
                  <v>6.01</v>
                </pt>
                <pt idx="16">
                  <v>5.85</v>
                </pt>
                <pt idx="17">
                  <v>5.43</v>
                </pt>
                <pt idx="18">
                  <v>5.03</v>
                </pt>
                <pt idx="19">
                  <v>4.6</v>
                </pt>
                <pt idx="20">
                  <v>4.22</v>
                </pt>
                <pt idx="21">
                  <v>3.87</v>
                </pt>
                <pt idx="22">
                  <v>3.53</v>
                </pt>
                <pt idx="23">
                  <v>3.2</v>
                </pt>
                <pt idx="24">
                  <v>2.85</v>
                </pt>
                <pt idx="25">
                  <v>2.55</v>
                </pt>
                <pt idx="26">
                  <v>2.27</v>
                </pt>
                <pt idx="27">
                  <v>2.07</v>
                </pt>
                <pt idx="28">
                  <v>1.88</v>
                </pt>
                <pt idx="29">
                  <v>1.69</v>
                </pt>
                <pt idx="30">
                  <v>1.51</v>
                </pt>
                <pt idx="31">
                  <v>1.33</v>
                </pt>
                <pt idx="32">
                  <v>1.16</v>
                </pt>
                <pt idx="33">
                  <v>0.99</v>
                </pt>
                <pt idx="34">
                  <v>0.83</v>
                </pt>
                <pt idx="35">
                  <v>0.67</v>
                </pt>
                <pt idx="36">
                  <v>0.52</v>
                </pt>
              </numCache>
            </numRef>
          </val>
          <smooth val="1"/>
        </ser>
        <ser>
          <idx val="1"/>
          <order val="1"/>
          <tx>
            <strRef>
              <f>三情景综合对比!$C$78</f>
              <strCache>
                <ptCount val="1"/>
                <pt idx="0">
                  <v>适度情景CO2(亿吨)</v>
                </pt>
              </strCache>
            </strRef>
          </tx>
          <spPr>
            <a:ln w="25000" cap="rnd" cmpd="sng" algn="ctr">
              <a:solidFill>
                <a:srgbClr val="4472C4"/>
              </a:solidFill>
              <a:prstDash val="dash"/>
              <a:round/>
            </a:ln>
          </spPr>
          <marker>
            <symbol val="none"/>
            <spPr>
              <a:ln>
                <a:prstDash val="solid"/>
              </a:ln>
            </spPr>
          </marker>
          <dLbls>
            <delete val="1"/>
          </dLbls>
          <cat>
            <numRef>
              <f>三情景综合对比!$A$79:$A$115</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三情景综合对比!$C$79:$C$115</f>
              <numCache>
                <formatCode>0.00</formatCode>
                <ptCount val="37"/>
                <pt idx="0">
                  <v>10.78</v>
                </pt>
                <pt idx="1">
                  <v>9.99</v>
                </pt>
                <pt idx="2">
                  <v>9.359999999999999</v>
                </pt>
                <pt idx="3">
                  <v>8.859999999999999</v>
                </pt>
                <pt idx="4">
                  <v>8.380000000000001</v>
                </pt>
                <pt idx="5">
                  <v>7.84</v>
                </pt>
                <pt idx="6">
                  <v>7.12</v>
                </pt>
                <pt idx="7">
                  <v>6.85</v>
                </pt>
                <pt idx="8">
                  <v>6.6</v>
                </pt>
                <pt idx="9">
                  <v>6.34</v>
                </pt>
                <pt idx="10">
                  <v>6.08</v>
                </pt>
                <pt idx="11">
                  <v>5.84</v>
                </pt>
                <pt idx="12">
                  <v>5.61</v>
                </pt>
                <pt idx="13">
                  <v>5.34</v>
                </pt>
                <pt idx="14">
                  <v>5.12</v>
                </pt>
                <pt idx="15">
                  <v>4.87</v>
                </pt>
                <pt idx="16">
                  <v>4.66</v>
                </pt>
                <pt idx="17">
                  <v>4.28</v>
                </pt>
                <pt idx="18">
                  <v>3.92</v>
                </pt>
                <pt idx="19">
                  <v>3.55</v>
                </pt>
                <pt idx="20">
                  <v>3.22</v>
                </pt>
                <pt idx="21">
                  <v>2.9</v>
                </pt>
                <pt idx="22">
                  <v>2.59</v>
                </pt>
                <pt idx="23">
                  <v>2.3</v>
                </pt>
                <pt idx="24">
                  <v>2</v>
                </pt>
                <pt idx="25">
                  <v>1.74</v>
                </pt>
                <pt idx="26">
                  <v>1.5</v>
                </pt>
                <pt idx="27">
                  <v>1.38</v>
                </pt>
                <pt idx="28">
                  <v>1.25</v>
                </pt>
                <pt idx="29">
                  <v>1.13</v>
                </pt>
                <pt idx="30">
                  <v>1.01</v>
                </pt>
                <pt idx="31">
                  <v>0.9</v>
                </pt>
                <pt idx="32">
                  <v>0.8100000000000001</v>
                </pt>
                <pt idx="33">
                  <v>0.72</v>
                </pt>
                <pt idx="34">
                  <v>0.63</v>
                </pt>
                <pt idx="35">
                  <v>0.55</v>
                </pt>
                <pt idx="36">
                  <v>0.47</v>
                </pt>
              </numCache>
            </numRef>
          </val>
          <smooth val="1"/>
        </ser>
        <ser>
          <idx val="2"/>
          <order val="2"/>
          <tx>
            <strRef>
              <f>三情景综合对比!$D$78</f>
              <strCache>
                <ptCount val="1"/>
                <pt idx="0">
                  <v>积极情景CO2(亿吨)</v>
                </pt>
              </strCache>
            </strRef>
          </tx>
          <spPr>
            <a:ln w="22000" cap="rnd" cmpd="sng" algn="ctr">
              <a:solidFill>
                <a:srgbClr val="548235"/>
              </a:solidFill>
              <a:prstDash val="solid"/>
              <a:round/>
            </a:ln>
          </spPr>
          <marker>
            <symbol val="none"/>
            <spPr>
              <a:ln>
                <a:prstDash val="solid"/>
              </a:ln>
            </spPr>
          </marker>
          <dLbls>
            <delete val="1"/>
          </dLbls>
          <cat>
            <numRef>
              <f>三情景综合对比!$A$79:$A$115</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三情景综合对比!$D$79:$D$115</f>
              <numCache>
                <formatCode>0.00</formatCode>
                <ptCount val="37"/>
                <pt idx="0">
                  <v>10.78</v>
                </pt>
                <pt idx="1">
                  <v>9.869999999999999</v>
                </pt>
                <pt idx="2">
                  <v>9.17</v>
                </pt>
                <pt idx="3">
                  <v>8.6</v>
                </pt>
                <pt idx="4">
                  <v>8.06</v>
                </pt>
                <pt idx="5">
                  <v>7.47</v>
                </pt>
                <pt idx="6">
                  <v>6.7</v>
                </pt>
                <pt idx="7">
                  <v>6.49</v>
                </pt>
                <pt idx="8">
                  <v>6.28</v>
                </pt>
                <pt idx="9">
                  <v>6.08</v>
                </pt>
                <pt idx="10">
                  <v>5.88</v>
                </pt>
                <pt idx="11">
                  <v>5.68</v>
                </pt>
                <pt idx="12">
                  <v>5.38</v>
                </pt>
                <pt idx="13">
                  <v>5.06</v>
                </pt>
                <pt idx="14">
                  <v>4.78</v>
                </pt>
                <pt idx="15">
                  <v>4.47</v>
                </pt>
                <pt idx="16">
                  <v>4.21</v>
                </pt>
                <pt idx="17">
                  <v>3.85</v>
                </pt>
                <pt idx="18">
                  <v>3.51</v>
                </pt>
                <pt idx="19">
                  <v>3.15</v>
                </pt>
                <pt idx="20">
                  <v>2.84</v>
                </pt>
                <pt idx="21">
                  <v>2.55</v>
                </pt>
                <pt idx="22">
                  <v>2.27</v>
                </pt>
                <pt idx="23">
                  <v>2.01</v>
                </pt>
                <pt idx="24">
                  <v>1.74</v>
                </pt>
                <pt idx="25">
                  <v>1.51</v>
                </pt>
                <pt idx="26">
                  <v>1.3</v>
                </pt>
                <pt idx="27">
                  <v>1.18</v>
                </pt>
                <pt idx="28">
                  <v>1.07</v>
                </pt>
                <pt idx="29">
                  <v>0.96</v>
                </pt>
                <pt idx="30">
                  <v>0.85</v>
                </pt>
                <pt idx="31">
                  <v>0.75</v>
                </pt>
                <pt idx="32">
                  <v>0.65</v>
                </pt>
                <pt idx="33">
                  <v>0.55</v>
                </pt>
                <pt idx="34">
                  <v>0.46</v>
                </pt>
                <pt idx="35">
                  <v>0.36</v>
                </pt>
                <pt idx="36">
                  <v>0.28</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CO2排放 (亿吨)</a:t>
                </a:r>
              </a:p>
            </rich>
          </tx>
          <layout/>
          <overlay val="0"/>
        </title>
        <numFmt formatCode="0.00" sourceLinked="1"/>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9.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三情景碳强度路径对比</a:t>
            </a:r>
          </a:p>
        </rich>
      </tx>
      <layout/>
      <overlay val="0"/>
    </title>
    <plotArea>
      <layout/>
      <lineChart>
        <grouping val="standard"/>
        <varyColors val="0"/>
        <ser>
          <idx val="0"/>
          <order val="0"/>
          <tx>
            <strRef>
              <f>可视化仪表板!$B$3</f>
              <strCache>
                <ptCount val="1"/>
                <pt idx="0">
                  <v>保守情景</v>
                </pt>
              </strCache>
            </strRef>
          </tx>
          <spPr>
            <a:ln w="22000" cap="rnd" cmpd="sng" algn="ctr">
              <a:solidFill>
                <a:srgbClr val="C00000"/>
              </a:solidFill>
              <a:prstDash val="solid"/>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可视化仪表板!$B$4:$B$40</f>
              <numCache>
                <formatCode>0.000</formatCode>
                <ptCount val="37"/>
                <pt idx="0">
                  <v>0.59</v>
                </pt>
                <pt idx="1">
                  <v>0.583</v>
                </pt>
                <pt idx="2">
                  <v>0.577</v>
                </pt>
                <pt idx="3">
                  <v>0.57</v>
                </pt>
                <pt idx="4">
                  <v>0.5629999999999999</v>
                </pt>
                <pt idx="5">
                  <v>0.5570000000000001</v>
                </pt>
                <pt idx="6">
                  <v>0.55</v>
                </pt>
                <pt idx="7">
                  <v>0.545</v>
                </pt>
                <pt idx="8">
                  <v>0.54</v>
                </pt>
                <pt idx="9">
                  <v>0.535</v>
                </pt>
                <pt idx="10">
                  <v>0.53</v>
                </pt>
                <pt idx="11">
                  <v>0.525</v>
                </pt>
                <pt idx="12">
                  <v>0.52</v>
                </pt>
                <pt idx="13">
                  <v>0.515</v>
                </pt>
                <pt idx="14">
                  <v>0.51</v>
                </pt>
                <pt idx="15">
                  <v>0.505</v>
                </pt>
                <pt idx="16">
                  <v>0.5</v>
                </pt>
                <pt idx="17">
                  <v>0.485</v>
                </pt>
                <pt idx="18">
                  <v>0.47</v>
                </pt>
                <pt idx="19">
                  <v>0.455</v>
                </pt>
                <pt idx="20">
                  <v>0.44</v>
                </pt>
                <pt idx="21">
                  <v>0.425</v>
                </pt>
                <pt idx="22">
                  <v>0.41</v>
                </pt>
                <pt idx="23">
                  <v>0.395</v>
                </pt>
                <pt idx="24">
                  <v>0.38</v>
                </pt>
                <pt idx="25">
                  <v>0.365</v>
                </pt>
                <pt idx="26">
                  <v>0.35</v>
                </pt>
                <pt idx="27">
                  <v>0.324</v>
                </pt>
                <pt idx="28">
                  <v>0.299</v>
                </pt>
                <pt idx="29">
                  <v>0.273</v>
                </pt>
                <pt idx="30">
                  <v>0.248</v>
                </pt>
                <pt idx="31">
                  <v>0.222</v>
                </pt>
                <pt idx="32">
                  <v>0.197</v>
                </pt>
                <pt idx="33">
                  <v>0.171</v>
                </pt>
                <pt idx="34">
                  <v>0.146</v>
                </pt>
                <pt idx="35">
                  <v>0.12</v>
                </pt>
                <pt idx="36">
                  <v>0.095</v>
                </pt>
              </numCache>
            </numRef>
          </val>
          <smooth val="1"/>
        </ser>
        <ser>
          <idx val="1"/>
          <order val="1"/>
          <tx>
            <strRef>
              <f>可视化仪表板!$C$3</f>
              <strCache>
                <ptCount val="1"/>
                <pt idx="0">
                  <v>适度情景(★)</v>
                </pt>
              </strCache>
            </strRef>
          </tx>
          <spPr>
            <a:ln w="28000" cap="rnd" cmpd="sng" algn="ctr">
              <a:solidFill>
                <a:srgbClr val="4472C4"/>
              </a:solidFill>
              <a:prstDash val="dash"/>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可视化仪表板!$C$4:$C$40</f>
              <numCache>
                <formatCode>0.000</formatCode>
                <ptCount val="37"/>
                <pt idx="0">
                  <v>0.589</v>
                </pt>
                <pt idx="1">
                  <v>0.581</v>
                </pt>
                <pt idx="2">
                  <v>0.571</v>
                </pt>
                <pt idx="3">
                  <v>0.5610000000000001</v>
                </pt>
                <pt idx="4">
                  <v>0.551</v>
                </pt>
                <pt idx="5">
                  <v>0.541</v>
                </pt>
                <pt idx="6">
                  <v>0.531</v>
                </pt>
                <pt idx="7">
                  <v>0.515</v>
                </pt>
                <pt idx="8">
                  <v>0.5</v>
                </pt>
                <pt idx="9">
                  <v>0.484</v>
                </pt>
                <pt idx="10">
                  <v>0.468</v>
                </pt>
                <pt idx="11">
                  <v>0.453</v>
                </pt>
                <pt idx="12">
                  <v>0.442</v>
                </pt>
                <pt idx="13">
                  <v>0.431</v>
                </pt>
                <pt idx="14">
                  <v>0.42</v>
                </pt>
                <pt idx="15">
                  <v>0.409</v>
                </pt>
                <pt idx="16">
                  <v>0.398</v>
                </pt>
                <pt idx="17">
                  <v>0.382</v>
                </pt>
                <pt idx="18">
                  <v>0.366</v>
                </pt>
                <pt idx="19">
                  <v>0.351</v>
                </pt>
                <pt idx="20">
                  <v>0.335</v>
                </pt>
                <pt idx="21">
                  <v>0.319</v>
                </pt>
                <pt idx="22">
                  <v>0.301</v>
                </pt>
                <pt idx="23">
                  <v>0.284</v>
                </pt>
                <pt idx="24">
                  <v>0.266</v>
                </pt>
                <pt idx="25">
                  <v>0.249</v>
                </pt>
                <pt idx="26">
                  <v>0.231</v>
                </pt>
                <pt idx="27">
                  <v>0.215</v>
                </pt>
                <pt idx="28">
                  <v>0.199</v>
                </pt>
                <pt idx="29">
                  <v>0.182</v>
                </pt>
                <pt idx="30">
                  <v>0.166</v>
                </pt>
                <pt idx="31">
                  <v>0.15</v>
                </pt>
                <pt idx="32">
                  <v>0.137</v>
                </pt>
                <pt idx="33">
                  <v>0.124</v>
                </pt>
                <pt idx="34">
                  <v>0.111</v>
                </pt>
                <pt idx="35">
                  <v>0.098</v>
                </pt>
                <pt idx="36">
                  <v>0.08500000000000001</v>
                </pt>
              </numCache>
            </numRef>
          </val>
          <smooth val="1"/>
        </ser>
        <ser>
          <idx val="2"/>
          <order val="2"/>
          <tx>
            <strRef>
              <f>可视化仪表板!$D$3</f>
              <strCache>
                <ptCount val="1"/>
                <pt idx="0">
                  <v>积极情景</v>
                </pt>
              </strCache>
            </strRef>
          </tx>
          <spPr>
            <a:ln w="22000" cap="rnd" cmpd="sng" algn="ctr">
              <a:solidFill>
                <a:srgbClr val="548235"/>
              </a:solidFill>
              <a:prstDash val="solid"/>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可视化仪表板!$D$4:$D$40</f>
              <numCache>
                <formatCode>0.000</formatCode>
                <ptCount val="37"/>
                <pt idx="0">
                  <v>0.589</v>
                </pt>
                <pt idx="1">
                  <v>0.574</v>
                </pt>
                <pt idx="2">
                  <v>0.5590000000000001</v>
                </pt>
                <pt idx="3">
                  <v>0.544</v>
                </pt>
                <pt idx="4">
                  <v>0.53</v>
                </pt>
                <pt idx="5">
                  <v>0.515</v>
                </pt>
                <pt idx="6">
                  <v>0.5</v>
                </pt>
                <pt idx="7">
                  <v>0.488</v>
                </pt>
                <pt idx="8">
                  <v>0.476</v>
                </pt>
                <pt idx="9">
                  <v>0.464</v>
                </pt>
                <pt idx="10">
                  <v>0.452</v>
                </pt>
                <pt idx="11">
                  <v>0.44</v>
                </pt>
                <pt idx="12">
                  <v>0.424</v>
                </pt>
                <pt idx="13">
                  <v>0.408</v>
                </pt>
                <pt idx="14">
                  <v>0.392</v>
                </pt>
                <pt idx="15">
                  <v>0.376</v>
                </pt>
                <pt idx="16">
                  <v>0.36</v>
                </pt>
                <pt idx="17">
                  <v>0.344</v>
                </pt>
                <pt idx="18">
                  <v>0.328</v>
                </pt>
                <pt idx="19">
                  <v>0.312</v>
                </pt>
                <pt idx="20">
                  <v>0.296</v>
                </pt>
                <pt idx="21">
                  <v>0.28</v>
                </pt>
                <pt idx="22">
                  <v>0.264</v>
                </pt>
                <pt idx="23">
                  <v>0.248</v>
                </pt>
                <pt idx="24">
                  <v>0.232</v>
                </pt>
                <pt idx="25">
                  <v>0.216</v>
                </pt>
                <pt idx="26">
                  <v>0.2</v>
                </pt>
                <pt idx="27">
                  <v>0.185</v>
                </pt>
                <pt idx="28">
                  <v>0.17</v>
                </pt>
                <pt idx="29">
                  <v>0.155</v>
                </pt>
                <pt idx="30">
                  <v>0.14</v>
                </pt>
                <pt idx="31">
                  <v>0.125</v>
                </pt>
                <pt idx="32">
                  <v>0.11</v>
                </pt>
                <pt idx="33">
                  <v>0.095</v>
                </pt>
                <pt idx="34">
                  <v>0.08</v>
                </pt>
                <pt idx="35">
                  <v>0.065</v>
                </pt>
                <pt idx="36">
                  <v>0.05</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max val="0.65"/>
          <min val="0"/>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吨水泥碳强度 (tCO2/t)</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charts/chart10.xml><?xml version="1.0" encoding="utf-8"?>
<chartSpace xmlns:a="http://schemas.openxmlformats.org/drawingml/2006/main" xmlns="http://schemas.openxmlformats.org/drawingml/2006/chart">
  <chart>
    <title>
      <tx>
        <rich>
          <a:bodyPr rot="0" spcFirstLastPara="0" vertOverflow="ellipsis" vert="horz" wrap="square" anchor="ctr" anchorCtr="1"/>
          <a:lstStyle/>
          <a:p>
            <a:pPr>
              <a:defRPr lang="zh-CN" sz="1800" b="1" i="0" strike="noStrike" kern="1200" baseline="0">
                <a:solidFill>
                  <a:schemeClr val="tx1"/>
                </a:solidFill>
                <a:latin typeface="+mn-lt"/>
                <a:ea typeface="+mn-ea"/>
                <a:cs typeface="+mn-cs"/>
              </a:defRPr>
            </a:pPr>
            <a:r>
              <a:t>三情景CO2排放路径对比</a:t>
            </a:r>
          </a:p>
        </rich>
      </tx>
      <layout/>
      <overlay val="0"/>
    </title>
    <plotArea>
      <layout/>
      <lineChart>
        <grouping val="standard"/>
        <varyColors val="0"/>
        <ser>
          <idx val="0"/>
          <order val="0"/>
          <tx>
            <strRef>
              <f>可视化仪表板!$F$3</f>
              <strCache>
                <ptCount val="1"/>
                <pt idx="0">
                  <v>保守CO2(亿吨)</v>
                </pt>
              </strCache>
            </strRef>
          </tx>
          <spPr>
            <a:ln w="22000" cap="rnd" cmpd="sng" algn="ctr">
              <a:solidFill>
                <a:srgbClr val="C00000"/>
              </a:solidFill>
              <a:prstDash val="solid"/>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可视化仪表板!$F$4:$F$40</f>
              <numCache>
                <formatCode>0.00</formatCode>
                <ptCount val="37"/>
                <pt idx="0">
                  <v>10.8</v>
                </pt>
                <pt idx="1">
                  <v>10.03</v>
                </pt>
                <pt idx="2">
                  <v>9.460000000000001</v>
                </pt>
                <pt idx="3">
                  <v>9.01</v>
                </pt>
                <pt idx="4">
                  <v>8.56</v>
                </pt>
                <pt idx="5">
                  <v>8.08</v>
                </pt>
                <pt idx="6">
                  <v>7.37</v>
                </pt>
                <pt idx="7">
                  <v>7.25</v>
                </pt>
                <pt idx="8">
                  <v>7.13</v>
                </pt>
                <pt idx="9">
                  <v>7.01</v>
                </pt>
                <pt idx="10">
                  <v>6.89</v>
                </pt>
                <pt idx="11">
                  <v>6.77</v>
                </pt>
                <pt idx="12">
                  <v>6.6</v>
                </pt>
                <pt idx="13">
                  <v>6.39</v>
                </pt>
                <pt idx="14">
                  <v>6.22</v>
                </pt>
                <pt idx="15">
                  <v>6.01</v>
                </pt>
                <pt idx="16">
                  <v>5.85</v>
                </pt>
                <pt idx="17">
                  <v>5.43</v>
                </pt>
                <pt idx="18">
                  <v>5.03</v>
                </pt>
                <pt idx="19">
                  <v>4.6</v>
                </pt>
                <pt idx="20">
                  <v>4.22</v>
                </pt>
                <pt idx="21">
                  <v>3.87</v>
                </pt>
                <pt idx="22">
                  <v>3.53</v>
                </pt>
                <pt idx="23">
                  <v>3.2</v>
                </pt>
                <pt idx="24">
                  <v>2.85</v>
                </pt>
                <pt idx="25">
                  <v>2.55</v>
                </pt>
                <pt idx="26">
                  <v>2.27</v>
                </pt>
                <pt idx="27">
                  <v>2.07</v>
                </pt>
                <pt idx="28">
                  <v>1.88</v>
                </pt>
                <pt idx="29">
                  <v>1.69</v>
                </pt>
                <pt idx="30">
                  <v>1.51</v>
                </pt>
                <pt idx="31">
                  <v>1.33</v>
                </pt>
                <pt idx="32">
                  <v>1.16</v>
                </pt>
                <pt idx="33">
                  <v>0.99</v>
                </pt>
                <pt idx="34">
                  <v>0.83</v>
                </pt>
                <pt idx="35">
                  <v>0.67</v>
                </pt>
                <pt idx="36">
                  <v>0.52</v>
                </pt>
              </numCache>
            </numRef>
          </val>
          <smooth val="1"/>
        </ser>
        <ser>
          <idx val="1"/>
          <order val="1"/>
          <tx>
            <strRef>
              <f>可视化仪表板!$G$3</f>
              <strCache>
                <ptCount val="1"/>
                <pt idx="0">
                  <v>适度CO2(亿吨)</v>
                </pt>
              </strCache>
            </strRef>
          </tx>
          <spPr>
            <a:ln w="28000" cap="rnd" cmpd="sng" algn="ctr">
              <a:solidFill>
                <a:srgbClr val="4472C4"/>
              </a:solidFill>
              <a:prstDash val="dash"/>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可视化仪表板!$G$4:$G$40</f>
              <numCache>
                <formatCode>0.00</formatCode>
                <ptCount val="37"/>
                <pt idx="0">
                  <v>10.78</v>
                </pt>
                <pt idx="1">
                  <v>9.99</v>
                </pt>
                <pt idx="2">
                  <v>9.359999999999999</v>
                </pt>
                <pt idx="3">
                  <v>8.859999999999999</v>
                </pt>
                <pt idx="4">
                  <v>8.380000000000001</v>
                </pt>
                <pt idx="5">
                  <v>7.84</v>
                </pt>
                <pt idx="6">
                  <v>7.12</v>
                </pt>
                <pt idx="7">
                  <v>6.85</v>
                </pt>
                <pt idx="8">
                  <v>6.6</v>
                </pt>
                <pt idx="9">
                  <v>6.34</v>
                </pt>
                <pt idx="10">
                  <v>6.08</v>
                </pt>
                <pt idx="11">
                  <v>5.84</v>
                </pt>
                <pt idx="12">
                  <v>5.61</v>
                </pt>
                <pt idx="13">
                  <v>5.34</v>
                </pt>
                <pt idx="14">
                  <v>5.12</v>
                </pt>
                <pt idx="15">
                  <v>4.87</v>
                </pt>
                <pt idx="16">
                  <v>4.66</v>
                </pt>
                <pt idx="17">
                  <v>4.28</v>
                </pt>
                <pt idx="18">
                  <v>3.92</v>
                </pt>
                <pt idx="19">
                  <v>3.55</v>
                </pt>
                <pt idx="20">
                  <v>3.22</v>
                </pt>
                <pt idx="21">
                  <v>2.9</v>
                </pt>
                <pt idx="22">
                  <v>2.59</v>
                </pt>
                <pt idx="23">
                  <v>2.3</v>
                </pt>
                <pt idx="24">
                  <v>2</v>
                </pt>
                <pt idx="25">
                  <v>1.74</v>
                </pt>
                <pt idx="26">
                  <v>1.5</v>
                </pt>
                <pt idx="27">
                  <v>1.38</v>
                </pt>
                <pt idx="28">
                  <v>1.25</v>
                </pt>
                <pt idx="29">
                  <v>1.13</v>
                </pt>
                <pt idx="30">
                  <v>1.01</v>
                </pt>
                <pt idx="31">
                  <v>0.9</v>
                </pt>
                <pt idx="32">
                  <v>0.8100000000000001</v>
                </pt>
                <pt idx="33">
                  <v>0.72</v>
                </pt>
                <pt idx="34">
                  <v>0.63</v>
                </pt>
                <pt idx="35">
                  <v>0.55</v>
                </pt>
                <pt idx="36">
                  <v>0.47</v>
                </pt>
              </numCache>
            </numRef>
          </val>
          <smooth val="1"/>
        </ser>
        <ser>
          <idx val="2"/>
          <order val="2"/>
          <tx>
            <strRef>
              <f>可视化仪表板!$H$3</f>
              <strCache>
                <ptCount val="1"/>
                <pt idx="0">
                  <v>积极CO2(亿吨)</v>
                </pt>
              </strCache>
            </strRef>
          </tx>
          <spPr>
            <a:ln w="22000" cap="rnd" cmpd="sng" algn="ctr">
              <a:solidFill>
                <a:srgbClr val="548235"/>
              </a:solidFill>
              <a:prstDash val="solid"/>
              <a:round/>
            </a:ln>
          </spPr>
          <marker>
            <symbol val="none"/>
            <spPr>
              <a:ln>
                <a:prstDash val="solid"/>
              </a:ln>
            </spPr>
          </marker>
          <dLbls>
            <delete val="1"/>
          </dLbls>
          <cat>
            <numRef>
              <f>可视化仪表板!$A$4:$A$40</f>
              <numCache>
                <formatCode>0</formatCode>
                <ptCount val="37"/>
                <pt idx="0">
                  <v>2024</v>
                </pt>
                <pt idx="1">
                  <v>2025</v>
                </pt>
                <pt idx="2">
                  <v>2026</v>
                </pt>
                <pt idx="3">
                  <v>2027</v>
                </pt>
                <pt idx="4">
                  <v>2028</v>
                </pt>
                <pt idx="5">
                  <v>2029</v>
                </pt>
                <pt idx="6">
                  <v>2030</v>
                </pt>
                <pt idx="7">
                  <v>2031</v>
                </pt>
                <pt idx="8">
                  <v>2032</v>
                </pt>
                <pt idx="9">
                  <v>2033</v>
                </pt>
                <pt idx="10">
                  <v>2034</v>
                </pt>
                <pt idx="11">
                  <v>2035</v>
                </pt>
                <pt idx="12">
                  <v>2036</v>
                </pt>
                <pt idx="13">
                  <v>2037</v>
                </pt>
                <pt idx="14">
                  <v>2038</v>
                </pt>
                <pt idx="15">
                  <v>2039</v>
                </pt>
                <pt idx="16">
                  <v>2040</v>
                </pt>
                <pt idx="17">
                  <v>2041</v>
                </pt>
                <pt idx="18">
                  <v>2042</v>
                </pt>
                <pt idx="19">
                  <v>2043</v>
                </pt>
                <pt idx="20">
                  <v>2044</v>
                </pt>
                <pt idx="21">
                  <v>2045</v>
                </pt>
                <pt idx="22">
                  <v>2046</v>
                </pt>
                <pt idx="23">
                  <v>2047</v>
                </pt>
                <pt idx="24">
                  <v>2048</v>
                </pt>
                <pt idx="25">
                  <v>2049</v>
                </pt>
                <pt idx="26">
                  <v>2050</v>
                </pt>
                <pt idx="27">
                  <v>2051</v>
                </pt>
                <pt idx="28">
                  <v>2052</v>
                </pt>
                <pt idx="29">
                  <v>2053</v>
                </pt>
                <pt idx="30">
                  <v>2054</v>
                </pt>
                <pt idx="31">
                  <v>2055</v>
                </pt>
                <pt idx="32">
                  <v>2056</v>
                </pt>
                <pt idx="33">
                  <v>2057</v>
                </pt>
                <pt idx="34">
                  <v>2058</v>
                </pt>
                <pt idx="35">
                  <v>2059</v>
                </pt>
                <pt idx="36">
                  <v>2060</v>
                </pt>
              </numCache>
            </numRef>
          </cat>
          <val>
            <numRef>
              <f>可视化仪表板!$H$4:$H$40</f>
              <numCache>
                <formatCode>0.00</formatCode>
                <ptCount val="37"/>
                <pt idx="0">
                  <v>10.78</v>
                </pt>
                <pt idx="1">
                  <v>9.869999999999999</v>
                </pt>
                <pt idx="2">
                  <v>9.17</v>
                </pt>
                <pt idx="3">
                  <v>8.6</v>
                </pt>
                <pt idx="4">
                  <v>8.06</v>
                </pt>
                <pt idx="5">
                  <v>7.47</v>
                </pt>
                <pt idx="6">
                  <v>6.7</v>
                </pt>
                <pt idx="7">
                  <v>6.49</v>
                </pt>
                <pt idx="8">
                  <v>6.28</v>
                </pt>
                <pt idx="9">
                  <v>6.08</v>
                </pt>
                <pt idx="10">
                  <v>5.88</v>
                </pt>
                <pt idx="11">
                  <v>5.68</v>
                </pt>
                <pt idx="12">
                  <v>5.38</v>
                </pt>
                <pt idx="13">
                  <v>5.06</v>
                </pt>
                <pt idx="14">
                  <v>4.78</v>
                </pt>
                <pt idx="15">
                  <v>4.47</v>
                </pt>
                <pt idx="16">
                  <v>4.21</v>
                </pt>
                <pt idx="17">
                  <v>3.85</v>
                </pt>
                <pt idx="18">
                  <v>3.51</v>
                </pt>
                <pt idx="19">
                  <v>3.15</v>
                </pt>
                <pt idx="20">
                  <v>2.84</v>
                </pt>
                <pt idx="21">
                  <v>2.55</v>
                </pt>
                <pt idx="22">
                  <v>2.27</v>
                </pt>
                <pt idx="23">
                  <v>2.01</v>
                </pt>
                <pt idx="24">
                  <v>1.74</v>
                </pt>
                <pt idx="25">
                  <v>1.51</v>
                </pt>
                <pt idx="26">
                  <v>1.3</v>
                </pt>
                <pt idx="27">
                  <v>1.18</v>
                </pt>
                <pt idx="28">
                  <v>1.07</v>
                </pt>
                <pt idx="29">
                  <v>0.96</v>
                </pt>
                <pt idx="30">
                  <v>0.85</v>
                </pt>
                <pt idx="31">
                  <v>0.75</v>
                </pt>
                <pt idx="32">
                  <v>0.65</v>
                </pt>
                <pt idx="33">
                  <v>0.55</v>
                </pt>
                <pt idx="34">
                  <v>0.46</v>
                </pt>
                <pt idx="35">
                  <v>0.36</v>
                </pt>
                <pt idx="36">
                  <v>0.28</v>
                </pt>
              </numCache>
            </numRef>
          </val>
          <smooth val="1"/>
        </ser>
        <dLbls>
          <showLegendKey val="0"/>
          <showVal val="0"/>
          <showCatName val="0"/>
          <showSerName val="0"/>
          <showPercent val="0"/>
          <showBubbleSize val="0"/>
        </dLbls>
        <marker val="0"/>
        <smooth val="1"/>
        <axId val="10"/>
        <axId val="100"/>
      </lineChart>
      <catAx>
        <axId val="10"/>
        <scaling>
          <orientation val="minMax"/>
        </scaling>
        <delete val="0"/>
        <axPos val="b"/>
        <title>
          <tx>
            <rich>
              <a:bodyPr rot="0" spcFirstLastPara="0" vertOverflow="ellipsis" vert="horz" wrap="square" anchor="ctr" anchorCtr="1"/>
              <a:lstStyle/>
              <a:p>
                <a:pPr>
                  <a:defRPr lang="zh-CN" sz="1000" b="1" i="0" strike="noStrike" kern="1200" baseline="0">
                    <a:solidFill>
                      <a:schemeClr val="tx1"/>
                    </a:solidFill>
                    <a:latin typeface="+mn-lt"/>
                    <a:ea typeface="+mn-ea"/>
                    <a:cs typeface="+mn-cs"/>
                  </a:defRPr>
                </a:pPr>
                <a:r>
                  <a:t>年份</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0"/>
        <crosses val="autoZero"/>
        <auto val="1"/>
        <lblAlgn val="ctr"/>
        <lblOffset val="100"/>
        <noMultiLvlLbl val="0"/>
      </catAx>
      <valAx>
        <axId val="100"/>
        <scaling>
          <orientation val="minMax"/>
        </scaling>
        <delete val="0"/>
        <axPos val="l"/>
        <majorGridlines/>
        <title>
          <tx>
            <rich>
              <a:bodyPr rot="-5400000" spcFirstLastPara="0" vertOverflow="ellipsis" vert="horz" wrap="square" anchor="ctr" anchorCtr="1"/>
              <a:lstStyle/>
              <a:p>
                <a:pPr>
                  <a:defRPr lang="zh-CN" sz="1000" b="1" i="0" strike="noStrike" kern="1200" baseline="0">
                    <a:solidFill>
                      <a:schemeClr val="tx1"/>
                    </a:solidFill>
                    <a:latin typeface="+mn-lt"/>
                    <a:ea typeface="+mn-ea"/>
                    <a:cs typeface="+mn-cs"/>
                  </a:defRPr>
                </a:pPr>
                <a:r>
                  <a:t>CO2排放 (亿吨)</a:t>
                </a:r>
              </a:p>
            </rich>
          </tx>
          <layout/>
          <overlay val="0"/>
        </title>
        <majorTickMark val="none"/>
        <minorTickMark val="none"/>
        <tickLblPos val="nextTo"/>
        <txPr>
          <a:bodyPr rot="-6000000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crossAx val="10"/>
        <crosses val="autoZero"/>
        <crossBetween val="between"/>
      </valAx>
    </plotArea>
    <legend>
      <legendPos val="r"/>
      <layout/>
      <overlay val="0"/>
      <txPr>
        <a:bodyPr rot="0" spcFirstLastPara="0" vertOverflow="ellipsis" vert="horz" wrap="square" anchor="ctr" anchorCtr="1"/>
        <a:lstStyle/>
        <a:p>
          <a:pPr>
            <a:defRPr lang="zh-CN" sz="1000" b="0" i="0" strike="noStrike" kern="1200" baseline="0">
              <a:solidFill>
                <a:schemeClr val="tx1"/>
              </a:solidFill>
              <a:latin typeface="+mn-lt"/>
              <a:ea typeface="+mn-ea"/>
              <a:cs typeface="+mn-cs"/>
            </a:defRPr>
          </a:pPr>
          <a:r>
            <a:t/>
          </a: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 Type="http://schemas.openxmlformats.org/officeDocument/2006/relationships/chart" Target="/xl/charts/chart4.xml" Id="rId2" /></Relationships>
</file>

<file path=xl/drawings/_rels/drawing3.xml.rels><Relationships xmlns="http://schemas.openxmlformats.org/package/2006/relationships"><Relationship Type="http://schemas.openxmlformats.org/officeDocument/2006/relationships/chart" Target="/xl/charts/chart5.xml" Id="rId1" /><Relationship Type="http://schemas.openxmlformats.org/officeDocument/2006/relationships/chart" Target="/xl/charts/chart6.xml" Id="rId2" /></Relationships>
</file>

<file path=xl/drawings/_rels/drawing4.xml.rels><Relationships xmlns="http://schemas.openxmlformats.org/package/2006/relationships"><Relationship Type="http://schemas.openxmlformats.org/officeDocument/2006/relationships/chart" Target="/xl/charts/chart7.xml" Id="rId1" /><Relationship Type="http://schemas.openxmlformats.org/officeDocument/2006/relationships/chart" Target="/xl/charts/chart8.xml" Id="rId2" /></Relationships>
</file>

<file path=xl/drawings/_rels/drawing5.xml.rels><Relationships xmlns="http://schemas.openxmlformats.org/package/2006/relationships"><Relationship Type="http://schemas.openxmlformats.org/officeDocument/2006/relationships/chart" Target="/xl/charts/chart9.xml" Id="rId1" /><Relationship Type="http://schemas.openxmlformats.org/officeDocument/2006/relationships/chart" Target="/xl/charts/chart10.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144</row>
      <rowOff>0</rowOff>
    </from>
    <ext cx="7920000" cy="522864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161</row>
      <rowOff>0</rowOff>
    </from>
    <ext cx="7920000" cy="522864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144</row>
      <rowOff>0</rowOff>
    </from>
    <ext cx="7920000" cy="522864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161</row>
      <rowOff>0</rowOff>
    </from>
    <ext cx="7920000" cy="5228640"/>
    <graphicFrame>
      <nvGraphicFramePr>
        <cNvPr id="2" name="Chart 2"/>
        <cNvGraphicFramePr/>
      </nvGraphicFramePr>
      <xfrm/>
      <a:graphic>
        <a:graphicData uri="http://schemas.openxmlformats.org/drawingml/2006/chart">
          <c:chart r:id="rId2"/>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144</row>
      <rowOff>0</rowOff>
    </from>
    <ext cx="7920000" cy="522864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161</row>
      <rowOff>0</rowOff>
    </from>
    <ext cx="7920000" cy="5228640"/>
    <graphicFrame>
      <nvGraphicFramePr>
        <cNvPr id="2" name="Chart 2"/>
        <cNvGraphicFramePr/>
      </nvGraphicFramePr>
      <xfrm/>
      <a:graphic>
        <a:graphicData uri="http://schemas.openxmlformats.org/drawingml/2006/chart">
          <c:chart r:id="rId2"/>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61</row>
      <rowOff>0</rowOff>
    </from>
    <ext cx="8640000" cy="5814700"/>
    <graphicFrame>
      <nvGraphicFramePr>
        <cNvPr id="1" name="Chart 1"/>
        <cNvGraphicFramePr/>
      </nvGraphicFramePr>
      <xfrm/>
      <a:graphic>
        <a:graphicData uri="http://schemas.openxmlformats.org/drawingml/2006/chart">
          <c:chart r:id="rId1"/>
        </a:graphicData>
      </a:graphic>
    </graphicFrame>
    <clientData/>
  </oneCellAnchor>
  <oneCellAnchor>
    <from>
      <col>5</col>
      <colOff>389890</colOff>
      <row>89</row>
      <rowOff>160655</rowOff>
    </from>
    <ext cx="8640000" cy="5634360"/>
    <graphicFrame>
      <nvGraphicFramePr>
        <cNvPr id="2" name="Chart 2"/>
        <cNvGraphicFramePr/>
      </nvGraphicFramePr>
      <xfrm/>
      <a:graphic>
        <a:graphicData uri="http://schemas.openxmlformats.org/drawingml/2006/chart">
          <c:chart r:id="rId2"/>
        </a:graphicData>
      </a:graphic>
    </graphicFrame>
    <clientData/>
  </one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41</row>
      <rowOff>0</rowOff>
    </from>
    <ext cx="8640000" cy="604008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59</row>
      <rowOff>0</rowOff>
    </from>
    <ext cx="8640000" cy="604008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_rels/sheet9.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outlinePr summaryBelow="1" summaryRight="1"/>
    <pageSetUpPr/>
  </sheetPr>
  <dimension ref="A1:B37"/>
  <sheetViews>
    <sheetView topLeftCell="A20" workbookViewId="0">
      <selection activeCell="A1" sqref="A1"/>
    </sheetView>
  </sheetViews>
  <sheetFormatPr baseColWidth="8" defaultColWidth="9" defaultRowHeight="16.8"/>
  <cols>
    <col width="90" customWidth="1" min="1" max="1"/>
    <col width="55" customWidth="1" min="2" max="2"/>
  </cols>
  <sheetData>
    <row r="1" ht="23.2" customHeight="1">
      <c r="A1" s="74" t="inlineStr">
        <is>
          <t>服务金融机构的中国水泥行业减碳基准路径模型V3.1</t>
        </is>
      </c>
    </row>
    <row r="2">
      <c r="A2" s="75" t="inlineStr">
        <is>
          <t>—— 自上而下（宏观均衡模型）与自下而上（行业转型模型）耦合方法论</t>
        </is>
      </c>
    </row>
    <row r="4" ht="17.6" customHeight="1">
      <c r="A4" s="76" t="inlineStr">
        <is>
          <t>一、模型设计目的</t>
        </is>
      </c>
    </row>
    <row r="5" ht="60" customHeight="1">
      <c r="A5" s="39" t="inlineStr">
        <is>
          <t>本模型旨在为金融机构制定转型金融投融资碳减排目标提供科学的基准路径参考。通过耦合宏观均衡模型（自上而下）与行业转型模型（自下而上），生成水泥行业在三种约束情景下的碳强度下降路径。金融机构可将其客户组合的碳强度数据与模型基准线进行对比，评估目标缺口，制定科学的转型规划。</t>
        </is>
      </c>
    </row>
    <row r="7" ht="17.6" customHeight="1">
      <c r="A7" s="76" t="inlineStr">
        <is>
          <t>二、三种情景定义</t>
        </is>
      </c>
    </row>
    <row r="8" ht="66" customHeight="1">
      <c r="A8" s="39" t="inlineStr">
        <is>
          <t>① 适度情景（2°C路径）：★推荐基准，采用‘自上而下’的2°C温控约束作为宏观锚，并结合行业实际运行数据对2030/2035关键节点进行校准；② 积极情景（NZE/1.5°C路径）：参考IEA NZE深度脱碳方向，但下调2030年前抢跑节奏、强化2030年后加速部署；③ 保守情景（政策承诺）：参考CBMA研究与现行政策执行节奏，仅在2035年前维持渐进式技术扩散。</t>
        </is>
      </c>
    </row>
    <row r="10" ht="17.6" customHeight="1">
      <c r="A10" s="76" t="inlineStr">
        <is>
          <t>三、技术路径分解方法</t>
        </is>
      </c>
    </row>
    <row r="11" ht="156" customHeight="1">
      <c r="A11" s="39" t="inlineStr">
        <is>
          <t>每个情景将碳强度下降分解为6大技术路径的贡献：
① 产能优化/产量下降：需求结构变化与落后产能退出带来的产量缩减效应
② 极致能效提升：预热器升级、篦冷机优化、余热发电、数字化运营等
③ 替代燃料(TSR)：固体废物衍生燃料、生物质燃料、氢能/绿电替代化石燃料
④ 熟料替代/低碳熟料：矿渣/粉煤灰替代熟料、高贝利特熟料、硫铝酸盐熟料
⑤ CCUS碳捕集：化学吸收、钙循环、富氧燃烧等碳捕集利用与封存技术
⑥ 其他：碳汇、绿电直接应用、流程电气化等
各技术路径的降碳贡献比例根据各情景假设设定，保守情景依赖成熟技术（能效+替代燃料），积极情景依赖突破性技术（CCUS+低碳熟料）。</t>
        </is>
      </c>
    </row>
    <row r="13" ht="17.6" customHeight="1">
      <c r="A13" s="76" t="inlineStr">
        <is>
          <t>四、核心方法论</t>
        </is>
      </c>
    </row>
    <row r="14" ht="66" customHeight="1">
      <c r="A14" s="39" t="inlineStr">
        <is>
          <t>自上而下路径（宏观锚定）：三情景分别对应差异化水泥产量路径与碳预算约束，其中保守/适度/积极情景的2030年产量分别约为14.2/13.4/12.8亿吨，2035年分别约为13.8/12.9/11.8亿吨。 /自下而上路径（技术推演）：围绕能效提升、替代燃料、熟料替代、绿电与CCUS逐年分解碳强度下降。 /耦合机制：以宏观产量和碳预算约束上边界，再以技术渗透节奏约束实现路径，保证2030/2035节点与2060终局同时可解释。</t>
        </is>
      </c>
    </row>
    <row r="16" ht="17.6" customHeight="1">
      <c r="A16" s="76" t="inlineStr">
        <is>
          <t>五、统一基准年</t>
        </is>
      </c>
    </row>
    <row r="17" ht="60" customHeight="1">
      <c r="A17" s="39" t="inlineStr">
        <is>
          <t>所有三种情景均以2024年为统一基准年。基准吨水泥CO2排放强度 = 0.590 tCO2/t。
数据来源：2024年水泥产量18.3亿吨，CO2排放10.8亿吨，碳强度0.590 tCO2/t。</t>
        </is>
      </c>
    </row>
    <row r="19" ht="17.6" customHeight="1">
      <c r="A19" s="76" t="inlineStr">
        <is>
          <t>六、数据来源</t>
        </is>
      </c>
    </row>
    <row r="20" ht="120" customHeight="1">
      <c r="A20" s="39" t="inlineStr">
        <is>
          <t>① 宏观经济参数：北大国发院基准情景（GDP增速、人口、城镇化率） /② 产量路径：基于IFS-CGE行业产出中枢，并按保守/适度/积极三情景再校准 /③ 碳强度校准：结合CBMA、IEA NZE、行业低碳技术渗透逻辑，重点满足2030与2035目标节点 /④ 技术路径分解：参考水泥行业低碳技术研究并按情景修正。</t>
        </is>
      </c>
    </row>
    <row r="22" ht="17.6" customHeight="1">
      <c r="A22" s="76" t="inlineStr">
        <is>
          <t>七、关键时间节点</t>
        </is>
      </c>
    </row>
    <row r="23" ht="102" customHeight="1">
      <c r="A23" s="39" t="inlineStr">
        <is>
          <t>2030：水泥碳强度下降3.2%–11.7%（保守-积极），三情景产量分别约为14.2/13.4/12.8亿吨 /2035：碳强度下降8.5%–23.1%，2030年前减排以需求收缩、能效和替代燃料为主，2030年后CCUS贡献逐步放大 /2040：碳强度下降15.3%–40.7% /2050：碳强度下降42.4%–69.5% /2060：碳强度下降83.9%–91.5%，实现近零排放/碳中和导向。</t>
        </is>
      </c>
    </row>
    <row r="25" ht="17.6" customHeight="1">
      <c r="A25" s="76" t="inlineStr">
        <is>
          <t>八、金融机构使用方法</t>
        </is>
      </c>
    </row>
    <row r="26" ht="102" customHeight="1">
      <c r="A26" s="39" t="inlineStr">
        <is>
          <t>1. 在"金融机构目标设置(估算)"Sheet输入行业融资组合数据
2. 在"金融机构目标设置(企业)"Sheet输入客户碳强度数据
3. 系统自动计算碳强度并与三种情景基准对比
4. 识别目标缺口并生成缺口分析
5. 根据缺口大小制定转型金融规划</t>
        </is>
      </c>
    </row>
    <row r="28" ht="17.6" customHeight="1">
      <c r="A28" s="77" t="inlineStr">
        <is>
          <t>九、工作表索引</t>
        </is>
      </c>
    </row>
    <row r="29">
      <c r="A29" s="2" t="inlineStr">
        <is>
          <t>工作表</t>
        </is>
      </c>
      <c r="B29" s="2" t="inlineStr">
        <is>
          <t>说明</t>
        </is>
      </c>
    </row>
    <row r="30">
      <c r="A30" s="25" t="inlineStr">
        <is>
          <t>积极情景（NZE路径）</t>
        </is>
      </c>
      <c r="B30" s="20" t="inlineStr">
        <is>
          <t>IEA NZE 1.5°C路径，含技术路径分解与可视化图表</t>
        </is>
      </c>
    </row>
    <row r="31" ht="31" customHeight="1">
      <c r="A31" s="25" t="inlineStr">
        <is>
          <t>适度情景（2°C路径）</t>
        </is>
      </c>
      <c r="B31" s="20" t="inlineStr">
        <is>
          <t>★推荐基准，CGE模型SSP1-RCP2.6，含技术路径分解与可视化图表</t>
        </is>
      </c>
    </row>
    <row r="32" ht="31" customHeight="1">
      <c r="A32" s="25" t="inlineStr">
        <is>
          <t>保守情景（政策承诺）</t>
        </is>
      </c>
      <c r="B32" s="20" t="inlineStr">
        <is>
          <t>CBMA碳中和路径+政策执行滞后，含技术路径分解与可视化图表</t>
        </is>
      </c>
    </row>
    <row r="33">
      <c r="A33" s="25" t="inlineStr">
        <is>
          <t>三情景综合对比</t>
        </is>
      </c>
      <c r="B33" s="20" t="inlineStr">
        <is>
          <t>三种情景碳强度路径与技术路径综合对比，含可视化图表</t>
        </is>
      </c>
    </row>
    <row r="34">
      <c r="A34" s="25" t="inlineStr">
        <is>
          <t>金融机构目标设置（估算）</t>
        </is>
      </c>
      <c r="B34" s="20" t="inlineStr">
        <is>
          <t>行业估算版：融资占比+降碳路径分解+目标校准</t>
        </is>
      </c>
    </row>
    <row r="35">
      <c r="A35" s="25" t="inlineStr">
        <is>
          <t>金融机构目标设置（企业）</t>
        </is>
      </c>
      <c r="B35" s="20" t="inlineStr">
        <is>
          <t>企业版：重点客户降碳路径+银行引导建议</t>
        </is>
      </c>
    </row>
    <row r="36">
      <c r="A36" s="25" t="inlineStr">
        <is>
          <t>低碳技术汇总</t>
        </is>
      </c>
      <c r="B36" s="20" t="inlineStr">
        <is>
          <t>水泥行业低碳技术、减排效果、投资成本</t>
        </is>
      </c>
    </row>
    <row r="37">
      <c r="A37" s="25" t="inlineStr">
        <is>
          <t>可视化仪表板</t>
        </is>
      </c>
      <c r="B37" s="20" t="inlineStr">
        <is>
          <t>三情景碳强度路径可视化对比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1"/>
  <sheetViews>
    <sheetView workbookViewId="0">
      <selection activeCell="E91" sqref="E91"/>
    </sheetView>
  </sheetViews>
  <sheetFormatPr baseColWidth="8" defaultColWidth="9" defaultRowHeight="16.8"/>
  <cols>
    <col width="8" customWidth="1" min="1" max="1"/>
    <col width="14" customWidth="1" min="2" max="2"/>
    <col width="16" customWidth="1" min="3" max="3"/>
    <col width="12" customWidth="1" min="4" max="4"/>
    <col width="10" customWidth="1" min="5" max="5"/>
    <col width="14" customWidth="1" min="6" max="8"/>
    <col width="16" customWidth="1" min="9" max="9"/>
    <col width="14" customWidth="1" min="10" max="14"/>
  </cols>
  <sheetData>
    <row r="1" ht="20.4" customHeight="1">
      <c r="A1" s="69" t="inlineStr">
        <is>
          <t>积极情景（NZE / 1.5°C路径） —— 水泥行业减碳基准路径</t>
        </is>
      </c>
    </row>
    <row r="2">
      <c r="A2" s="47" t="inlineStr">
        <is>
          <t>数据来源：IEA NZE情景 + 中国水泥行业情境化校准（放缓2030前抢跑节奏、强化2030后提速）</t>
        </is>
      </c>
    </row>
    <row r="4">
      <c r="A4" s="70" t="inlineStr">
        <is>
          <t>A. 宏观经济参数（北大国发院基准情景，与钢铁模型通用）</t>
        </is>
      </c>
    </row>
    <row r="5" ht="31" customHeight="1">
      <c r="A5" s="71" t="inlineStr">
        <is>
          <t>年份</t>
        </is>
      </c>
      <c r="B5" s="71" t="inlineStr">
        <is>
          <t>GDP增长率(%)</t>
        </is>
      </c>
      <c r="C5" s="71" t="inlineStr">
        <is>
          <t>实际GDP
(2020价万亿)</t>
        </is>
      </c>
      <c r="D5" s="71" t="inlineStr">
        <is>
          <t>人口(亿人)</t>
        </is>
      </c>
      <c r="E5" s="71" t="inlineStr">
        <is>
          <t>城镇化率(%)</t>
        </is>
      </c>
    </row>
    <row r="6">
      <c r="A6" s="3" t="n">
        <v>2024</v>
      </c>
      <c r="B6" s="78" t="n">
        <v>0.049</v>
      </c>
      <c r="C6" s="51" t="n">
        <v>124.92</v>
      </c>
      <c r="D6" s="12" t="n">
        <v>14.08</v>
      </c>
      <c r="E6" s="78" t="n">
        <v>0.663</v>
      </c>
    </row>
    <row r="7">
      <c r="A7" s="5" t="n">
        <v>2025</v>
      </c>
      <c r="B7" s="79" t="n">
        <v>0.045</v>
      </c>
      <c r="C7" s="53" t="n">
        <v>130.54</v>
      </c>
      <c r="D7" s="14" t="n">
        <v>14.08</v>
      </c>
      <c r="E7" s="79" t="n">
        <v>0.67</v>
      </c>
    </row>
    <row r="8">
      <c r="A8" s="7" t="n">
        <v>2026</v>
      </c>
      <c r="B8" s="80" t="n">
        <v>0.043</v>
      </c>
      <c r="C8" s="55" t="n">
        <v>136.15</v>
      </c>
      <c r="D8" s="16" t="n">
        <v>14.06</v>
      </c>
      <c r="E8" s="80" t="n">
        <v>0.677</v>
      </c>
    </row>
    <row r="9">
      <c r="A9" s="5" t="n">
        <v>2027</v>
      </c>
      <c r="B9" s="79" t="n">
        <v>0.041</v>
      </c>
      <c r="C9" s="53" t="n">
        <v>141.72</v>
      </c>
      <c r="D9" s="14" t="n">
        <v>14.04</v>
      </c>
      <c r="E9" s="79" t="n">
        <v>0.6840000000000001</v>
      </c>
    </row>
    <row r="10">
      <c r="A10" s="7" t="n">
        <v>2028</v>
      </c>
      <c r="B10" s="80" t="n">
        <v>0.039</v>
      </c>
      <c r="C10" s="55" t="n">
        <v>147.25</v>
      </c>
      <c r="D10" s="16" t="n">
        <v>14.01</v>
      </c>
      <c r="E10" s="80" t="n">
        <v>0.6899999999999999</v>
      </c>
    </row>
    <row r="11">
      <c r="A11" s="5" t="n">
        <v>2029</v>
      </c>
      <c r="B11" s="79" t="n">
        <v>0.037</v>
      </c>
      <c r="C11" s="53" t="n">
        <v>152.7</v>
      </c>
      <c r="D11" s="14" t="n">
        <v>13.98</v>
      </c>
      <c r="E11" s="79" t="n">
        <v>0.696</v>
      </c>
    </row>
    <row r="12">
      <c r="A12" s="3" t="n">
        <v>2030</v>
      </c>
      <c r="B12" s="78" t="n">
        <v>0.035</v>
      </c>
      <c r="C12" s="51" t="n">
        <v>158.04</v>
      </c>
      <c r="D12" s="12" t="n">
        <v>13.95</v>
      </c>
      <c r="E12" s="78" t="n">
        <v>0.702</v>
      </c>
    </row>
    <row r="13">
      <c r="A13" s="5" t="n">
        <v>2031</v>
      </c>
      <c r="B13" s="79" t="n">
        <v>0.033</v>
      </c>
      <c r="C13" s="53" t="n">
        <v>163.26</v>
      </c>
      <c r="D13" s="14" t="n">
        <v>13.92</v>
      </c>
      <c r="E13" s="79" t="n">
        <v>0.707</v>
      </c>
    </row>
    <row r="14">
      <c r="A14" s="7" t="n">
        <v>2032</v>
      </c>
      <c r="B14" s="80" t="n">
        <v>0.031</v>
      </c>
      <c r="C14" s="55" t="n">
        <v>168.32</v>
      </c>
      <c r="D14" s="16" t="n">
        <v>13.88</v>
      </c>
      <c r="E14" s="80" t="n">
        <v>0.712</v>
      </c>
    </row>
    <row r="15">
      <c r="A15" s="5" t="n">
        <v>2033</v>
      </c>
      <c r="B15" s="79" t="n">
        <v>0.03</v>
      </c>
      <c r="C15" s="53" t="n">
        <v>173.37</v>
      </c>
      <c r="D15" s="14" t="n">
        <v>13.84</v>
      </c>
      <c r="E15" s="79" t="n">
        <v>0.717</v>
      </c>
    </row>
    <row r="16">
      <c r="A16" s="7" t="n">
        <v>2034</v>
      </c>
      <c r="B16" s="80" t="n">
        <v>0.028</v>
      </c>
      <c r="C16" s="55" t="n">
        <v>178.22</v>
      </c>
      <c r="D16" s="16" t="n">
        <v>13.8</v>
      </c>
      <c r="E16" s="80" t="n">
        <v>0.722</v>
      </c>
    </row>
    <row r="17">
      <c r="A17" s="9" t="n">
        <v>2035</v>
      </c>
      <c r="B17" s="81" t="n">
        <v>0.027</v>
      </c>
      <c r="C17" s="57" t="n">
        <v>183.03</v>
      </c>
      <c r="D17" s="18" t="n">
        <v>13.75</v>
      </c>
      <c r="E17" s="81" t="n">
        <v>0.726</v>
      </c>
    </row>
    <row r="18">
      <c r="A18" s="7" t="n">
        <v>2036</v>
      </c>
      <c r="B18" s="80" t="n">
        <v>0.025</v>
      </c>
      <c r="C18" s="55" t="n">
        <v>187.61</v>
      </c>
      <c r="D18" s="16" t="n">
        <v>13.71</v>
      </c>
      <c r="E18" s="80" t="n">
        <v>0.73</v>
      </c>
    </row>
    <row r="19">
      <c r="A19" s="5" t="n">
        <v>2037</v>
      </c>
      <c r="B19" s="79" t="n">
        <v>0.024</v>
      </c>
      <c r="C19" s="53" t="n">
        <v>192.11</v>
      </c>
      <c r="D19" s="14" t="n">
        <v>13.66</v>
      </c>
      <c r="E19" s="79" t="n">
        <v>0.735</v>
      </c>
    </row>
    <row r="20">
      <c r="A20" s="7" t="n">
        <v>2038</v>
      </c>
      <c r="B20" s="80" t="n">
        <v>0.022</v>
      </c>
      <c r="C20" s="55" t="n">
        <v>196.34</v>
      </c>
      <c r="D20" s="16" t="n">
        <v>13.61</v>
      </c>
      <c r="E20" s="80" t="n">
        <v>0.739</v>
      </c>
    </row>
    <row r="21">
      <c r="A21" s="5" t="n">
        <v>2039</v>
      </c>
      <c r="B21" s="79" t="n">
        <v>0.021</v>
      </c>
      <c r="C21" s="53" t="n">
        <v>200.46</v>
      </c>
      <c r="D21" s="14" t="n">
        <v>13.56</v>
      </c>
      <c r="E21" s="79" t="n">
        <v>0.743</v>
      </c>
    </row>
    <row r="22">
      <c r="A22" s="3" t="n">
        <v>2040</v>
      </c>
      <c r="B22" s="78" t="n">
        <v>0.02</v>
      </c>
      <c r="C22" s="51" t="n">
        <v>204.47</v>
      </c>
      <c r="D22" s="12" t="n">
        <v>13.5</v>
      </c>
      <c r="E22" s="78" t="n">
        <v>0.747</v>
      </c>
    </row>
    <row r="23">
      <c r="A23" s="5" t="n">
        <v>2041</v>
      </c>
      <c r="B23" s="79" t="n">
        <v>0.018</v>
      </c>
      <c r="C23" s="53" t="n">
        <v>208.15</v>
      </c>
      <c r="D23" s="14" t="n">
        <v>13.45</v>
      </c>
      <c r="E23" s="79" t="n">
        <v>0.751</v>
      </c>
    </row>
    <row r="24">
      <c r="A24" s="7" t="n">
        <v>2042</v>
      </c>
      <c r="B24" s="80" t="n">
        <v>0.017</v>
      </c>
      <c r="C24" s="55" t="n">
        <v>211.69</v>
      </c>
      <c r="D24" s="16" t="n">
        <v>13.39</v>
      </c>
      <c r="E24" s="80" t="n">
        <v>0.755</v>
      </c>
    </row>
    <row r="25">
      <c r="A25" s="5" t="n">
        <v>2043</v>
      </c>
      <c r="B25" s="79" t="n">
        <v>0.016</v>
      </c>
      <c r="C25" s="53" t="n">
        <v>215.08</v>
      </c>
      <c r="D25" s="14" t="n">
        <v>13.33</v>
      </c>
      <c r="E25" s="79" t="n">
        <v>0.759</v>
      </c>
    </row>
    <row r="26">
      <c r="A26" s="7" t="n">
        <v>2044</v>
      </c>
      <c r="B26" s="80" t="n">
        <v>0.015</v>
      </c>
      <c r="C26" s="55" t="n">
        <v>218.31</v>
      </c>
      <c r="D26" s="16" t="n">
        <v>13.27</v>
      </c>
      <c r="E26" s="80" t="n">
        <v>0.763</v>
      </c>
    </row>
    <row r="27">
      <c r="A27" s="5" t="n">
        <v>2045</v>
      </c>
      <c r="B27" s="79" t="n">
        <v>0.015</v>
      </c>
      <c r="C27" s="53" t="n">
        <v>221.59</v>
      </c>
      <c r="D27" s="14" t="n">
        <v>13.2</v>
      </c>
      <c r="E27" s="79" t="n">
        <v>0.767</v>
      </c>
    </row>
    <row r="28">
      <c r="A28" s="7" t="n">
        <v>2046</v>
      </c>
      <c r="B28" s="80" t="n">
        <v>0.013</v>
      </c>
      <c r="C28" s="55" t="n">
        <v>224.47</v>
      </c>
      <c r="D28" s="16" t="n">
        <v>13.14</v>
      </c>
      <c r="E28" s="80" t="n">
        <v>0.771</v>
      </c>
    </row>
    <row r="29">
      <c r="A29" s="5" t="n">
        <v>2047</v>
      </c>
      <c r="B29" s="79" t="n">
        <v>0.012</v>
      </c>
      <c r="C29" s="53" t="n">
        <v>227.17</v>
      </c>
      <c r="D29" s="14" t="n">
        <v>13.07</v>
      </c>
      <c r="E29" s="79" t="n">
        <v>0.775</v>
      </c>
    </row>
    <row r="30">
      <c r="A30" s="7" t="n">
        <v>2048</v>
      </c>
      <c r="B30" s="80" t="n">
        <v>0.011</v>
      </c>
      <c r="C30" s="55" t="n">
        <v>229.67</v>
      </c>
      <c r="D30" s="16" t="n">
        <v>13</v>
      </c>
      <c r="E30" s="80" t="n">
        <v>0.779</v>
      </c>
    </row>
    <row r="31">
      <c r="A31" s="5" t="n">
        <v>2049</v>
      </c>
      <c r="B31" s="79" t="n">
        <v>0.01</v>
      </c>
      <c r="C31" s="53" t="n">
        <v>231.97</v>
      </c>
      <c r="D31" s="14" t="n">
        <v>12.93</v>
      </c>
      <c r="E31" s="79" t="n">
        <v>0.783</v>
      </c>
    </row>
    <row r="32">
      <c r="A32" s="3" t="n">
        <v>2050</v>
      </c>
      <c r="B32" s="78" t="n">
        <v>0.01</v>
      </c>
      <c r="C32" s="51" t="n">
        <v>234.29</v>
      </c>
      <c r="D32" s="12" t="n">
        <v>12.86</v>
      </c>
      <c r="E32" s="78" t="n">
        <v>0.787</v>
      </c>
    </row>
    <row r="33">
      <c r="A33" s="5" t="n">
        <v>2051</v>
      </c>
      <c r="B33" s="79" t="n">
        <v>0.008</v>
      </c>
      <c r="C33" s="53" t="n">
        <v>236.17</v>
      </c>
      <c r="D33" s="14" t="n">
        <v>12.79</v>
      </c>
      <c r="E33" s="79" t="n">
        <v>0.791</v>
      </c>
    </row>
    <row r="34">
      <c r="A34" s="7" t="n">
        <v>2052</v>
      </c>
      <c r="B34" s="80" t="n">
        <v>0.007</v>
      </c>
      <c r="C34" s="55" t="n">
        <v>237.82</v>
      </c>
      <c r="D34" s="16" t="n">
        <v>12.72</v>
      </c>
      <c r="E34" s="80" t="n">
        <v>0.795</v>
      </c>
    </row>
    <row r="35">
      <c r="A35" s="5" t="n">
        <v>2053</v>
      </c>
      <c r="B35" s="79" t="n">
        <v>0.006</v>
      </c>
      <c r="C35" s="53" t="n">
        <v>239.25</v>
      </c>
      <c r="D35" s="14" t="n">
        <v>12.65</v>
      </c>
      <c r="E35" s="79" t="n">
        <v>0.799</v>
      </c>
    </row>
    <row r="36">
      <c r="A36" s="7" t="n">
        <v>2054</v>
      </c>
      <c r="B36" s="80" t="n">
        <v>0.006</v>
      </c>
      <c r="C36" s="55" t="n">
        <v>240.68</v>
      </c>
      <c r="D36" s="16" t="n">
        <v>12.57</v>
      </c>
      <c r="E36" s="80" t="n">
        <v>0.803</v>
      </c>
    </row>
    <row r="37">
      <c r="A37" s="5" t="n">
        <v>2055</v>
      </c>
      <c r="B37" s="79" t="n">
        <v>0.005</v>
      </c>
      <c r="C37" s="53" t="n">
        <v>241.89</v>
      </c>
      <c r="D37" s="14" t="n">
        <v>12.5</v>
      </c>
      <c r="E37" s="79" t="n">
        <v>0.8070000000000001</v>
      </c>
    </row>
    <row r="38">
      <c r="A38" s="7" t="n">
        <v>2056</v>
      </c>
      <c r="B38" s="80" t="n">
        <v>0.004</v>
      </c>
      <c r="C38" s="55" t="n">
        <v>242.86</v>
      </c>
      <c r="D38" s="16" t="n">
        <v>12.42</v>
      </c>
      <c r="E38" s="80" t="n">
        <v>0.8100000000000001</v>
      </c>
    </row>
    <row r="39">
      <c r="A39" s="5" t="n">
        <v>2057</v>
      </c>
      <c r="B39" s="79" t="n">
        <v>0.004</v>
      </c>
      <c r="C39" s="53" t="n">
        <v>243.83</v>
      </c>
      <c r="D39" s="14" t="n">
        <v>12.34</v>
      </c>
      <c r="E39" s="79" t="n">
        <v>0.8139999999999999</v>
      </c>
    </row>
    <row r="40">
      <c r="A40" s="7" t="n">
        <v>2058</v>
      </c>
      <c r="B40" s="80" t="n">
        <v>0.003</v>
      </c>
      <c r="C40" s="55" t="n">
        <v>244.56</v>
      </c>
      <c r="D40" s="16" t="n">
        <v>12.26</v>
      </c>
      <c r="E40" s="80" t="n">
        <v>0.8179999999999999</v>
      </c>
    </row>
    <row r="41">
      <c r="A41" s="5" t="n">
        <v>2059</v>
      </c>
      <c r="B41" s="79" t="n">
        <v>0.003</v>
      </c>
      <c r="C41" s="53" t="n">
        <v>245.3</v>
      </c>
      <c r="D41" s="14" t="n">
        <v>12.18</v>
      </c>
      <c r="E41" s="79" t="n">
        <v>0.822</v>
      </c>
    </row>
    <row r="42">
      <c r="A42" s="3" t="n">
        <v>2060</v>
      </c>
      <c r="B42" s="78" t="n">
        <v>0.002</v>
      </c>
      <c r="C42" s="51" t="n">
        <v>245.79</v>
      </c>
      <c r="D42" s="12" t="n">
        <v>12.11</v>
      </c>
      <c r="E42" s="78" t="n">
        <v>0.826</v>
      </c>
    </row>
    <row r="44">
      <c r="A44" s="70" t="inlineStr">
        <is>
          <t>B. 水泥行业关键假设</t>
        </is>
      </c>
    </row>
    <row r="45" ht="46" customHeight="1">
      <c r="A45" s="71" t="inlineStr">
        <is>
          <t>年份</t>
        </is>
      </c>
      <c r="B45" s="71" t="inlineStr">
        <is>
          <t>水泥产量
(亿吨)</t>
        </is>
      </c>
      <c r="C45" s="71" t="inlineStr">
        <is>
          <t>CO2排放
(亿吨)</t>
        </is>
      </c>
      <c r="D45" s="71" t="inlineStr">
        <is>
          <t>吨水泥碳强度
(tCO2/t)</t>
        </is>
      </c>
      <c r="E45" s="71" t="inlineStr">
        <is>
          <t>较2024累计
降幅(%)</t>
        </is>
      </c>
    </row>
    <row r="46">
      <c r="A46" s="3" t="n">
        <v>2024</v>
      </c>
      <c r="B46" s="82" t="n">
        <v>18.3</v>
      </c>
      <c r="C46" s="12" t="n">
        <v>10.8</v>
      </c>
      <c r="D46" s="83" t="n">
        <v>0.59</v>
      </c>
      <c r="E46" s="78" t="n">
        <v>0</v>
      </c>
    </row>
    <row r="47">
      <c r="A47" s="5" t="n">
        <v>2025</v>
      </c>
      <c r="B47" s="84" t="n">
        <v>17.4</v>
      </c>
      <c r="C47" s="14" t="n">
        <v>10.07</v>
      </c>
      <c r="D47" s="85" t="n">
        <v>0.579</v>
      </c>
      <c r="E47" s="79" t="n">
        <v>-0.019</v>
      </c>
    </row>
    <row r="48">
      <c r="A48" s="7" t="n">
        <v>2026</v>
      </c>
      <c r="B48" s="86" t="n">
        <v>16.5</v>
      </c>
      <c r="C48" s="16" t="n">
        <v>9.359999999999999</v>
      </c>
      <c r="D48" s="87" t="n">
        <v>0.5669999999999999</v>
      </c>
      <c r="E48" s="80" t="n">
        <v>-0.039</v>
      </c>
    </row>
    <row r="49">
      <c r="A49" s="5" t="n">
        <v>2027</v>
      </c>
      <c r="B49" s="84" t="n">
        <v>15.6</v>
      </c>
      <c r="C49" s="14" t="n">
        <v>8.66</v>
      </c>
      <c r="D49" s="85" t="n">
        <v>0.555</v>
      </c>
      <c r="E49" s="79" t="n">
        <v>-0.059</v>
      </c>
    </row>
    <row r="50">
      <c r="A50" s="7" t="n">
        <v>2028</v>
      </c>
      <c r="B50" s="86" t="n">
        <v>14.6</v>
      </c>
      <c r="C50" s="16" t="n">
        <v>7.94</v>
      </c>
      <c r="D50" s="87" t="n">
        <v>0.544</v>
      </c>
      <c r="E50" s="80" t="n">
        <v>-0.078</v>
      </c>
    </row>
    <row r="51">
      <c r="A51" s="5" t="n">
        <v>2029</v>
      </c>
      <c r="B51" s="84" t="n">
        <v>13.7</v>
      </c>
      <c r="C51" s="14" t="n">
        <v>7.29</v>
      </c>
      <c r="D51" s="85" t="n">
        <v>0.532</v>
      </c>
      <c r="E51" s="79" t="n">
        <v>-0.098</v>
      </c>
    </row>
    <row r="52">
      <c r="A52" s="3" t="n">
        <v>2030</v>
      </c>
      <c r="B52" s="82" t="n">
        <v>12.8</v>
      </c>
      <c r="C52" s="12" t="n">
        <v>6.67</v>
      </c>
      <c r="D52" s="83" t="n">
        <v>0.521</v>
      </c>
      <c r="E52" s="78" t="n">
        <v>-0.117</v>
      </c>
    </row>
    <row r="53">
      <c r="A53" s="5" t="n">
        <v>2031</v>
      </c>
      <c r="B53" s="84" t="n">
        <v>12.6</v>
      </c>
      <c r="C53" s="14" t="n">
        <v>6.4</v>
      </c>
      <c r="D53" s="85" t="n">
        <v>0.508</v>
      </c>
      <c r="E53" s="79" t="n">
        <v>-0.139</v>
      </c>
    </row>
    <row r="54">
      <c r="A54" s="7" t="n">
        <v>2032</v>
      </c>
      <c r="B54" s="86" t="n">
        <v>12.4</v>
      </c>
      <c r="C54" s="16" t="n">
        <v>6.13</v>
      </c>
      <c r="D54" s="87" t="n">
        <v>0.494</v>
      </c>
      <c r="E54" s="80" t="n">
        <v>-0.163</v>
      </c>
    </row>
    <row r="55">
      <c r="A55" s="5" t="n">
        <v>2033</v>
      </c>
      <c r="B55" s="84" t="n">
        <v>12.2</v>
      </c>
      <c r="C55" s="14" t="n">
        <v>5.87</v>
      </c>
      <c r="D55" s="85" t="n">
        <v>0.481</v>
      </c>
      <c r="E55" s="79" t="n">
        <v>-0.185</v>
      </c>
    </row>
    <row r="56">
      <c r="A56" s="7" t="n">
        <v>2034</v>
      </c>
      <c r="B56" s="86" t="n">
        <v>12</v>
      </c>
      <c r="C56" s="16" t="n">
        <v>5.6</v>
      </c>
      <c r="D56" s="87" t="n">
        <v>0.467</v>
      </c>
      <c r="E56" s="80" t="n">
        <v>-0.208</v>
      </c>
    </row>
    <row r="57">
      <c r="A57" s="9" t="n">
        <v>2035</v>
      </c>
      <c r="B57" s="88" t="n">
        <v>11.8</v>
      </c>
      <c r="C57" s="18" t="n">
        <v>5.36</v>
      </c>
      <c r="D57" s="89" t="n">
        <v>0.454</v>
      </c>
      <c r="E57" s="81" t="n">
        <v>-0.231</v>
      </c>
    </row>
    <row r="58">
      <c r="A58" s="7" t="n">
        <v>2036</v>
      </c>
      <c r="B58" s="86" t="n">
        <v>11.5</v>
      </c>
      <c r="C58" s="16" t="n">
        <v>4.98</v>
      </c>
      <c r="D58" s="87" t="n">
        <v>0.433</v>
      </c>
      <c r="E58" s="80" t="n">
        <v>-0.266</v>
      </c>
    </row>
    <row r="59">
      <c r="A59" s="5" t="n">
        <v>2037</v>
      </c>
      <c r="B59" s="84" t="n">
        <v>11.3</v>
      </c>
      <c r="C59" s="14" t="n">
        <v>4.66</v>
      </c>
      <c r="D59" s="85" t="n">
        <v>0.412</v>
      </c>
      <c r="E59" s="79" t="n">
        <v>-0.302</v>
      </c>
    </row>
    <row r="60">
      <c r="A60" s="7" t="n">
        <v>2038</v>
      </c>
      <c r="B60" s="86" t="n">
        <v>11</v>
      </c>
      <c r="C60" s="16" t="n">
        <v>4.31</v>
      </c>
      <c r="D60" s="87" t="n">
        <v>0.392</v>
      </c>
      <c r="E60" s="80" t="n">
        <v>-0.336</v>
      </c>
    </row>
    <row r="61">
      <c r="A61" s="5" t="n">
        <v>2039</v>
      </c>
      <c r="B61" s="84" t="n">
        <v>10.8</v>
      </c>
      <c r="C61" s="14" t="n">
        <v>4.01</v>
      </c>
      <c r="D61" s="85" t="n">
        <v>0.371</v>
      </c>
      <c r="E61" s="79" t="n">
        <v>-0.371</v>
      </c>
    </row>
    <row r="62">
      <c r="A62" s="3" t="n">
        <v>2040</v>
      </c>
      <c r="B62" s="82" t="n">
        <v>10.5</v>
      </c>
      <c r="C62" s="12" t="n">
        <v>3.67</v>
      </c>
      <c r="D62" s="83" t="n">
        <v>0.35</v>
      </c>
      <c r="E62" s="78" t="n">
        <v>-0.407</v>
      </c>
    </row>
    <row r="63">
      <c r="A63" s="5" t="n">
        <v>2041</v>
      </c>
      <c r="B63" s="84" t="n">
        <v>10</v>
      </c>
      <c r="C63" s="14" t="n">
        <v>3.33</v>
      </c>
      <c r="D63" s="85" t="n">
        <v>0.333</v>
      </c>
      <c r="E63" s="79" t="n">
        <v>-0.436</v>
      </c>
    </row>
    <row r="64">
      <c r="A64" s="7" t="n">
        <v>2042</v>
      </c>
      <c r="B64" s="86" t="n">
        <v>9.6</v>
      </c>
      <c r="C64" s="16" t="n">
        <v>3.03</v>
      </c>
      <c r="D64" s="87" t="n">
        <v>0.316</v>
      </c>
      <c r="E64" s="80" t="n">
        <v>-0.464</v>
      </c>
    </row>
    <row r="65">
      <c r="A65" s="5" t="n">
        <v>2043</v>
      </c>
      <c r="B65" s="84" t="n">
        <v>9.1</v>
      </c>
      <c r="C65" s="14" t="n">
        <v>2.72</v>
      </c>
      <c r="D65" s="85" t="n">
        <v>0.299</v>
      </c>
      <c r="E65" s="79" t="n">
        <v>-0.493</v>
      </c>
    </row>
    <row r="66">
      <c r="A66" s="7" t="n">
        <v>2044</v>
      </c>
      <c r="B66" s="86" t="n">
        <v>8.6</v>
      </c>
      <c r="C66" s="16" t="n">
        <v>2.43</v>
      </c>
      <c r="D66" s="87" t="n">
        <v>0.282</v>
      </c>
      <c r="E66" s="80" t="n">
        <v>-0.522</v>
      </c>
    </row>
    <row r="67">
      <c r="A67" s="5" t="n">
        <v>2045</v>
      </c>
      <c r="B67" s="84" t="n">
        <v>8.199999999999999</v>
      </c>
      <c r="C67" s="14" t="n">
        <v>2.17</v>
      </c>
      <c r="D67" s="85" t="n">
        <v>0.265</v>
      </c>
      <c r="E67" s="79" t="n">
        <v>-0.551</v>
      </c>
    </row>
    <row r="68">
      <c r="A68" s="7" t="n">
        <v>2046</v>
      </c>
      <c r="B68" s="86" t="n">
        <v>7.7</v>
      </c>
      <c r="C68" s="16" t="n">
        <v>1.91</v>
      </c>
      <c r="D68" s="87" t="n">
        <v>0.248</v>
      </c>
      <c r="E68" s="80" t="n">
        <v>-0.58</v>
      </c>
    </row>
    <row r="69">
      <c r="A69" s="5" t="n">
        <v>2047</v>
      </c>
      <c r="B69" s="84" t="n">
        <v>7.2</v>
      </c>
      <c r="C69" s="14" t="n">
        <v>1.66</v>
      </c>
      <c r="D69" s="85" t="n">
        <v>0.231</v>
      </c>
      <c r="E69" s="79" t="n">
        <v>-0.608</v>
      </c>
    </row>
    <row r="70">
      <c r="A70" s="7" t="n">
        <v>2048</v>
      </c>
      <c r="B70" s="86" t="n">
        <v>6.7</v>
      </c>
      <c r="C70" s="16" t="n">
        <v>1.43</v>
      </c>
      <c r="D70" s="87" t="n">
        <v>0.214</v>
      </c>
      <c r="E70" s="80" t="n">
        <v>-0.637</v>
      </c>
    </row>
    <row r="71">
      <c r="A71" s="5" t="n">
        <v>2049</v>
      </c>
      <c r="B71" s="84" t="n">
        <v>6.3</v>
      </c>
      <c r="C71" s="14" t="n">
        <v>1.24</v>
      </c>
      <c r="D71" s="85" t="n">
        <v>0.197</v>
      </c>
      <c r="E71" s="79" t="n">
        <v>-0.666</v>
      </c>
    </row>
    <row r="72">
      <c r="A72" s="3" t="n">
        <v>2050</v>
      </c>
      <c r="B72" s="82" t="n">
        <v>5.8</v>
      </c>
      <c r="C72" s="12" t="n">
        <v>1.04</v>
      </c>
      <c r="D72" s="83" t="n">
        <v>0.18</v>
      </c>
      <c r="E72" s="78" t="n">
        <v>-0.695</v>
      </c>
    </row>
    <row r="73">
      <c r="A73" s="5" t="n">
        <v>2051</v>
      </c>
      <c r="B73" s="84" t="n">
        <v>5.7</v>
      </c>
      <c r="C73" s="14" t="n">
        <v>0.95</v>
      </c>
      <c r="D73" s="85" t="n">
        <v>0.167</v>
      </c>
      <c r="E73" s="79" t="n">
        <v>-0.717</v>
      </c>
    </row>
    <row r="74">
      <c r="A74" s="7" t="n">
        <v>2052</v>
      </c>
      <c r="B74" s="86" t="n">
        <v>5.6</v>
      </c>
      <c r="C74" s="16" t="n">
        <v>0.86</v>
      </c>
      <c r="D74" s="87" t="n">
        <v>0.154</v>
      </c>
      <c r="E74" s="80" t="n">
        <v>-0.739</v>
      </c>
    </row>
    <row r="75">
      <c r="A75" s="5" t="n">
        <v>2053</v>
      </c>
      <c r="B75" s="84" t="n">
        <v>5.5</v>
      </c>
      <c r="C75" s="14" t="n">
        <v>0.78</v>
      </c>
      <c r="D75" s="85" t="n">
        <v>0.141</v>
      </c>
      <c r="E75" s="79" t="n">
        <v>-0.761</v>
      </c>
    </row>
    <row r="76">
      <c r="A76" s="7" t="n">
        <v>2054</v>
      </c>
      <c r="B76" s="86" t="n">
        <v>5.4</v>
      </c>
      <c r="C76" s="16" t="n">
        <v>0.6899999999999999</v>
      </c>
      <c r="D76" s="87" t="n">
        <v>0.128</v>
      </c>
      <c r="E76" s="80" t="n">
        <v>-0.783</v>
      </c>
    </row>
    <row r="77">
      <c r="A77" s="5" t="n">
        <v>2055</v>
      </c>
      <c r="B77" s="84" t="n">
        <v>5.3</v>
      </c>
      <c r="C77" s="14" t="n">
        <v>0.61</v>
      </c>
      <c r="D77" s="85" t="n">
        <v>0.115</v>
      </c>
      <c r="E77" s="79" t="n">
        <v>-0.805</v>
      </c>
    </row>
    <row r="78">
      <c r="A78" s="7" t="n">
        <v>2056</v>
      </c>
      <c r="B78" s="86" t="n">
        <v>5.2</v>
      </c>
      <c r="C78" s="16" t="n">
        <v>0.53</v>
      </c>
      <c r="D78" s="87" t="n">
        <v>0.102</v>
      </c>
      <c r="E78" s="80" t="n">
        <v>-0.827</v>
      </c>
    </row>
    <row r="79">
      <c r="A79" s="5" t="n">
        <v>2057</v>
      </c>
      <c r="B79" s="84" t="n">
        <v>5.1</v>
      </c>
      <c r="C79" s="14" t="n">
        <v>0.45</v>
      </c>
      <c r="D79" s="85" t="n">
        <v>0.089</v>
      </c>
      <c r="E79" s="79" t="n">
        <v>-0.849</v>
      </c>
    </row>
    <row r="80">
      <c r="A80" s="7" t="n">
        <v>2058</v>
      </c>
      <c r="B80" s="86" t="n">
        <v>5</v>
      </c>
      <c r="C80" s="16" t="n">
        <v>0.38</v>
      </c>
      <c r="D80" s="87" t="n">
        <v>0.076</v>
      </c>
      <c r="E80" s="80" t="n">
        <v>-0.871</v>
      </c>
    </row>
    <row r="81">
      <c r="A81" s="5" t="n">
        <v>2059</v>
      </c>
      <c r="B81" s="84" t="n">
        <v>4.9</v>
      </c>
      <c r="C81" s="14" t="n">
        <v>0.31</v>
      </c>
      <c r="D81" s="85" t="n">
        <v>0.063</v>
      </c>
      <c r="E81" s="79" t="n">
        <v>-0.893</v>
      </c>
    </row>
    <row r="82">
      <c r="A82" s="3" t="n">
        <v>2060</v>
      </c>
      <c r="B82" s="82" t="n">
        <v>4.8</v>
      </c>
      <c r="C82" s="12" t="n">
        <v>0.24</v>
      </c>
      <c r="D82" s="83" t="n">
        <v>0.05</v>
      </c>
      <c r="E82" s="78" t="n">
        <v>-0.915</v>
      </c>
    </row>
    <row r="84">
      <c r="A84" s="70" t="inlineStr">
        <is>
          <t>C. 技术路径降碳潜力分解（单位：tCO2/t水泥）</t>
        </is>
      </c>
    </row>
    <row r="85">
      <c r="A85" s="72" t="inlineStr">
        <is>
          <t>各技术路径降碳贡献比例（关键年份）：</t>
        </is>
      </c>
    </row>
    <row r="86" ht="31" customHeight="1">
      <c r="A86" s="73" t="inlineStr">
        <is>
          <t>技术路径</t>
        </is>
      </c>
      <c r="B86" s="73" t="inlineStr">
        <is>
          <t>2024年</t>
        </is>
      </c>
      <c r="C86" s="73" t="inlineStr">
        <is>
          <t>2030年</t>
        </is>
      </c>
      <c r="D86" s="73" t="inlineStr">
        <is>
          <t>2035年</t>
        </is>
      </c>
      <c r="E86" s="73" t="inlineStr">
        <is>
          <t>2040年</t>
        </is>
      </c>
      <c r="F86" s="73" t="inlineStr">
        <is>
          <t>2050年</t>
        </is>
      </c>
      <c r="G86" s="73" t="inlineStr">
        <is>
          <t>2060年</t>
        </is>
      </c>
    </row>
    <row r="87" ht="46" customHeight="1">
      <c r="A87" s="25" t="inlineStr">
        <is>
          <t>产能优化/产量下降</t>
        </is>
      </c>
      <c r="B87" s="25" t="inlineStr">
        <is>
          <t>100%</t>
        </is>
      </c>
      <c r="C87" s="25" t="inlineStr">
        <is>
          <t>36%</t>
        </is>
      </c>
      <c r="D87" s="25" t="inlineStr">
        <is>
          <t>30%</t>
        </is>
      </c>
      <c r="E87" s="25" t="inlineStr">
        <is>
          <t>22%</t>
        </is>
      </c>
      <c r="F87" s="25" t="inlineStr">
        <is>
          <t>16%</t>
        </is>
      </c>
      <c r="G87" s="25" t="inlineStr">
        <is>
          <t>12%</t>
        </is>
      </c>
    </row>
    <row r="88" ht="31" customHeight="1">
      <c r="A88" s="41" t="inlineStr">
        <is>
          <t>极致能效提升</t>
        </is>
      </c>
      <c r="B88" s="41" t="inlineStr">
        <is>
          <t>0%</t>
        </is>
      </c>
      <c r="C88" s="41" t="inlineStr">
        <is>
          <t>24%</t>
        </is>
      </c>
      <c r="D88" s="41" t="inlineStr">
        <is>
          <t>20%</t>
        </is>
      </c>
      <c r="E88" s="41" t="inlineStr">
        <is>
          <t>16%</t>
        </is>
      </c>
      <c r="F88" s="41" t="inlineStr">
        <is>
          <t>10%</t>
        </is>
      </c>
      <c r="G88" s="41" t="inlineStr">
        <is>
          <t>8%</t>
        </is>
      </c>
    </row>
    <row r="89" ht="31" customHeight="1">
      <c r="A89" s="20" t="inlineStr">
        <is>
          <t>替代燃料(TSR)</t>
        </is>
      </c>
      <c r="B89" s="20" t="inlineStr">
        <is>
          <t>0%</t>
        </is>
      </c>
      <c r="C89" s="20" t="inlineStr">
        <is>
          <t>22%</t>
        </is>
      </c>
      <c r="D89" s="20" t="inlineStr">
        <is>
          <t>22%</t>
        </is>
      </c>
      <c r="E89" s="20" t="inlineStr">
        <is>
          <t>20%</t>
        </is>
      </c>
      <c r="F89" s="20" t="inlineStr">
        <is>
          <t>16%</t>
        </is>
      </c>
      <c r="G89" s="20" t="inlineStr">
        <is>
          <t>12%</t>
        </is>
      </c>
    </row>
    <row r="90" ht="46" customHeight="1">
      <c r="A90" s="41" t="inlineStr">
        <is>
          <t>熟料替代/低碳熟料</t>
        </is>
      </c>
      <c r="B90" s="41" t="inlineStr">
        <is>
          <t>0%</t>
        </is>
      </c>
      <c r="C90" s="41" t="inlineStr">
        <is>
          <t>10%</t>
        </is>
      </c>
      <c r="D90" s="41" t="inlineStr">
        <is>
          <t>13%</t>
        </is>
      </c>
      <c r="E90" s="41" t="inlineStr">
        <is>
          <t>14%</t>
        </is>
      </c>
      <c r="F90" s="41" t="inlineStr">
        <is>
          <t>16%</t>
        </is>
      </c>
      <c r="G90" s="41" t="inlineStr">
        <is>
          <t>16%</t>
        </is>
      </c>
    </row>
    <row r="91" ht="31" customHeight="1">
      <c r="A91" s="20" t="inlineStr">
        <is>
          <t>CCUS碳捕集</t>
        </is>
      </c>
      <c r="B91" s="20" t="inlineStr">
        <is>
          <t>0%</t>
        </is>
      </c>
      <c r="C91" s="20" t="inlineStr">
        <is>
          <t>2%</t>
        </is>
      </c>
      <c r="D91" s="20" t="inlineStr">
        <is>
          <t>9%</t>
        </is>
      </c>
      <c r="E91" s="20" t="inlineStr">
        <is>
          <t>22%</t>
        </is>
      </c>
      <c r="F91" s="20" t="inlineStr">
        <is>
          <t>34%</t>
        </is>
      </c>
      <c r="G91" s="20" t="inlineStr">
        <is>
          <t>42%</t>
        </is>
      </c>
    </row>
    <row r="92" ht="46" customHeight="1">
      <c r="A92" s="41" t="inlineStr">
        <is>
          <t>其他(碳汇/绿电等)</t>
        </is>
      </c>
      <c r="B92" s="41" t="inlineStr">
        <is>
          <t>0%</t>
        </is>
      </c>
      <c r="C92" s="41" t="inlineStr">
        <is>
          <t>6%</t>
        </is>
      </c>
      <c r="D92" s="41" t="inlineStr">
        <is>
          <t>6%</t>
        </is>
      </c>
      <c r="E92" s="41" t="inlineStr">
        <is>
          <t>6%</t>
        </is>
      </c>
      <c r="F92" s="41" t="inlineStr">
        <is>
          <t>8%</t>
        </is>
      </c>
      <c r="G92" s="41" t="inlineStr">
        <is>
          <t>10%</t>
        </is>
      </c>
    </row>
    <row r="93">
      <c r="A93" s="25" t="inlineStr">
        <is>
          <t>合计</t>
        </is>
      </c>
      <c r="B93" s="25" t="inlineStr">
        <is>
          <t>100%</t>
        </is>
      </c>
      <c r="C93" s="25" t="inlineStr">
        <is>
          <t>100%</t>
        </is>
      </c>
      <c r="D93" s="25" t="inlineStr">
        <is>
          <t>100%</t>
        </is>
      </c>
      <c r="E93" s="25" t="inlineStr">
        <is>
          <t>100%</t>
        </is>
      </c>
      <c r="F93" s="25" t="inlineStr">
        <is>
          <t>100%</t>
        </is>
      </c>
      <c r="G93" s="25" t="inlineStr">
        <is>
          <t>100%</t>
        </is>
      </c>
    </row>
    <row r="95">
      <c r="A95" s="72" t="inlineStr">
        <is>
          <t>各技术路径绝对降碳量（tCO2/t水泥，逐年）：</t>
        </is>
      </c>
    </row>
    <row r="96" ht="31" customHeight="1">
      <c r="A96" s="71" t="inlineStr">
        <is>
          <t>年份</t>
        </is>
      </c>
      <c r="B96" s="71" t="inlineStr">
        <is>
          <t>产能优化/产量下降</t>
        </is>
      </c>
      <c r="C96" s="71" t="inlineStr">
        <is>
          <t>极致能效提升</t>
        </is>
      </c>
      <c r="D96" s="71" t="inlineStr">
        <is>
          <t>替代燃料(TSR)</t>
        </is>
      </c>
      <c r="E96" s="71" t="inlineStr">
        <is>
          <t>熟料替代/低碳熟料</t>
        </is>
      </c>
      <c r="F96" s="71" t="inlineStr">
        <is>
          <t>CCUS碳捕集</t>
        </is>
      </c>
      <c r="G96" s="71" t="inlineStr">
        <is>
          <t>其他(碳汇/绿电等)</t>
        </is>
      </c>
      <c r="H96" s="71" t="inlineStr">
        <is>
          <t>合计降碳量</t>
        </is>
      </c>
    </row>
    <row r="97">
      <c r="A97" s="3" t="n">
        <v>2024</v>
      </c>
      <c r="B97" s="90" t="n">
        <v>0</v>
      </c>
      <c r="C97" s="90" t="n">
        <v>0</v>
      </c>
      <c r="D97" s="90" t="n">
        <v>0</v>
      </c>
      <c r="E97" s="90" t="n">
        <v>0</v>
      </c>
      <c r="F97" s="90" t="n">
        <v>0</v>
      </c>
      <c r="G97" s="90" t="n">
        <v>0</v>
      </c>
      <c r="H97" s="90" t="n">
        <v>0</v>
      </c>
    </row>
    <row r="98">
      <c r="A98" s="5" t="n">
        <v>2025</v>
      </c>
      <c r="B98" s="91" t="n">
        <v>0.0098</v>
      </c>
      <c r="C98" s="91" t="n">
        <v>0.0004</v>
      </c>
      <c r="D98" s="91" t="n">
        <v>0.0004</v>
      </c>
      <c r="E98" s="91" t="n">
        <v>0.0002</v>
      </c>
      <c r="F98" s="91" t="n">
        <v>0</v>
      </c>
      <c r="G98" s="91" t="n">
        <v>0.0002</v>
      </c>
      <c r="H98" s="91" t="n">
        <v>0.011</v>
      </c>
    </row>
    <row r="99">
      <c r="A99" s="7" t="n">
        <v>2026</v>
      </c>
      <c r="B99" s="92" t="n">
        <v>0.0181</v>
      </c>
      <c r="C99" s="92" t="n">
        <v>0.0018</v>
      </c>
      <c r="D99" s="92" t="n">
        <v>0.0017</v>
      </c>
      <c r="E99" s="92" t="n">
        <v>0.0008</v>
      </c>
      <c r="F99" s="92" t="n">
        <v>0.0002</v>
      </c>
      <c r="G99" s="92" t="n">
        <v>0.0004</v>
      </c>
      <c r="H99" s="92" t="n">
        <v>0.023</v>
      </c>
    </row>
    <row r="100">
      <c r="A100" s="5" t="n">
        <v>2027</v>
      </c>
      <c r="B100" s="91" t="n">
        <v>0.0238</v>
      </c>
      <c r="C100" s="91" t="n">
        <v>0.0042</v>
      </c>
      <c r="D100" s="91" t="n">
        <v>0.0039</v>
      </c>
      <c r="E100" s="91" t="n">
        <v>0.0018</v>
      </c>
      <c r="F100" s="91" t="n">
        <v>0.0004</v>
      </c>
      <c r="G100" s="91" t="n">
        <v>0.0009</v>
      </c>
      <c r="H100" s="91" t="n">
        <v>0.035</v>
      </c>
    </row>
    <row r="101">
      <c r="A101" s="7" t="n">
        <v>2028</v>
      </c>
      <c r="B101" s="92" t="n">
        <v>0.0264</v>
      </c>
      <c r="C101" s="92" t="n">
        <v>0.0074</v>
      </c>
      <c r="D101" s="92" t="n">
        <v>0.0068</v>
      </c>
      <c r="E101" s="92" t="n">
        <v>0.0031</v>
      </c>
      <c r="F101" s="92" t="n">
        <v>0.0005999999999999999</v>
      </c>
      <c r="G101" s="92" t="n">
        <v>0.0017</v>
      </c>
      <c r="H101" s="92" t="n">
        <v>0.046</v>
      </c>
    </row>
    <row r="102">
      <c r="A102" s="5" t="n">
        <v>2029</v>
      </c>
      <c r="B102" s="91" t="n">
        <v>0.0271</v>
      </c>
      <c r="C102" s="91" t="n">
        <v>0.0116</v>
      </c>
      <c r="D102" s="91" t="n">
        <v>0.0106</v>
      </c>
      <c r="E102" s="91" t="n">
        <v>0.0048</v>
      </c>
      <c r="F102" s="91" t="n">
        <v>0.001</v>
      </c>
      <c r="G102" s="91" t="n">
        <v>0.0029</v>
      </c>
      <c r="H102" s="91" t="n">
        <v>0.058</v>
      </c>
    </row>
    <row r="103">
      <c r="A103" s="3" t="n">
        <v>2030</v>
      </c>
      <c r="B103" s="90" t="n">
        <v>0.0248</v>
      </c>
      <c r="C103" s="90" t="n">
        <v>0.0166</v>
      </c>
      <c r="D103" s="90" t="n">
        <v>0.0152</v>
      </c>
      <c r="E103" s="90" t="n">
        <v>0.0069</v>
      </c>
      <c r="F103" s="90" t="n">
        <v>0.0014</v>
      </c>
      <c r="G103" s="90" t="n">
        <v>0.0041</v>
      </c>
      <c r="H103" s="90" t="n">
        <v>0.06900000000000001</v>
      </c>
    </row>
    <row r="104">
      <c r="A104" s="5" t="n">
        <v>2031</v>
      </c>
      <c r="B104" s="91" t="n">
        <v>0.0285</v>
      </c>
      <c r="C104" s="91" t="n">
        <v>0.019</v>
      </c>
      <c r="D104" s="91" t="n">
        <v>0.018</v>
      </c>
      <c r="E104" s="91" t="n">
        <v>0.008699999999999999</v>
      </c>
      <c r="F104" s="91" t="n">
        <v>0.0028</v>
      </c>
      <c r="G104" s="91" t="n">
        <v>0.005</v>
      </c>
      <c r="H104" s="91" t="n">
        <v>0.082</v>
      </c>
    </row>
    <row r="105">
      <c r="A105" s="7" t="n">
        <v>2032</v>
      </c>
      <c r="B105" s="92" t="n">
        <v>0.0323</v>
      </c>
      <c r="C105" s="92" t="n">
        <v>0.0215</v>
      </c>
      <c r="D105" s="92" t="n">
        <v>0.0211</v>
      </c>
      <c r="E105" s="92" t="n">
        <v>0.0108</v>
      </c>
      <c r="F105" s="92" t="n">
        <v>0.0046</v>
      </c>
      <c r="G105" s="92" t="n">
        <v>0.0057</v>
      </c>
      <c r="H105" s="92" t="n">
        <v>0.096</v>
      </c>
    </row>
    <row r="106">
      <c r="A106" s="5" t="n">
        <v>2033</v>
      </c>
      <c r="B106" s="91" t="n">
        <v>0.0353</v>
      </c>
      <c r="C106" s="91" t="n">
        <v>0.0235</v>
      </c>
      <c r="D106" s="91" t="n">
        <v>0.024</v>
      </c>
      <c r="E106" s="91" t="n">
        <v>0.0129</v>
      </c>
      <c r="F106" s="91" t="n">
        <v>0.0068</v>
      </c>
      <c r="G106" s="91" t="n">
        <v>0.0065</v>
      </c>
      <c r="H106" s="91" t="n">
        <v>0.109</v>
      </c>
    </row>
    <row r="107">
      <c r="A107" s="7" t="n">
        <v>2034</v>
      </c>
      <c r="B107" s="92" t="n">
        <v>0.0384</v>
      </c>
      <c r="C107" s="92" t="n">
        <v>0.0256</v>
      </c>
      <c r="D107" s="92" t="n">
        <v>0.0271</v>
      </c>
      <c r="E107" s="92" t="n">
        <v>0.0153</v>
      </c>
      <c r="F107" s="92" t="n">
        <v>0.009299999999999999</v>
      </c>
      <c r="G107" s="92" t="n">
        <v>0.0073</v>
      </c>
      <c r="H107" s="92" t="n">
        <v>0.123</v>
      </c>
    </row>
    <row r="108">
      <c r="A108" s="9" t="n">
        <v>2035</v>
      </c>
      <c r="B108" s="93" t="n">
        <v>0.0408</v>
      </c>
      <c r="C108" s="93" t="n">
        <v>0.0272</v>
      </c>
      <c r="D108" s="93" t="n">
        <v>0.0299</v>
      </c>
      <c r="E108" s="93" t="n">
        <v>0.0177</v>
      </c>
      <c r="F108" s="93" t="n">
        <v>0.0122</v>
      </c>
      <c r="G108" s="93" t="n">
        <v>0.008200000000000001</v>
      </c>
      <c r="H108" s="93" t="n">
        <v>0.136</v>
      </c>
    </row>
    <row r="109">
      <c r="A109" s="7" t="n">
        <v>2036</v>
      </c>
      <c r="B109" s="92" t="n">
        <v>0.0446</v>
      </c>
      <c r="C109" s="92" t="n">
        <v>0.0301</v>
      </c>
      <c r="D109" s="92" t="n">
        <v>0.0339</v>
      </c>
      <c r="E109" s="92" t="n">
        <v>0.0207</v>
      </c>
      <c r="F109" s="92" t="n">
        <v>0.0182</v>
      </c>
      <c r="G109" s="92" t="n">
        <v>0.0095</v>
      </c>
      <c r="H109" s="92" t="n">
        <v>0.157</v>
      </c>
    </row>
    <row r="110">
      <c r="A110" s="5" t="n">
        <v>2037</v>
      </c>
      <c r="B110" s="91" t="n">
        <v>0.0477</v>
      </c>
      <c r="C110" s="91" t="n">
        <v>0.0328</v>
      </c>
      <c r="D110" s="91" t="n">
        <v>0.0377</v>
      </c>
      <c r="E110" s="91" t="n">
        <v>0.0239</v>
      </c>
      <c r="F110" s="91" t="n">
        <v>0.0253</v>
      </c>
      <c r="G110" s="91" t="n">
        <v>0.0106</v>
      </c>
      <c r="H110" s="91" t="n">
        <v>0.178</v>
      </c>
    </row>
    <row r="111">
      <c r="A111" s="7" t="n">
        <v>2038</v>
      </c>
      <c r="B111" s="92" t="n">
        <v>0.0499</v>
      </c>
      <c r="C111" s="92" t="n">
        <v>0.0348</v>
      </c>
      <c r="D111" s="92" t="n">
        <v>0.0412</v>
      </c>
      <c r="E111" s="92" t="n">
        <v>0.0269</v>
      </c>
      <c r="F111" s="92" t="n">
        <v>0.0333</v>
      </c>
      <c r="G111" s="92" t="n">
        <v>0.0119</v>
      </c>
      <c r="H111" s="92" t="n">
        <v>0.198</v>
      </c>
    </row>
    <row r="112">
      <c r="A112" s="5" t="n">
        <v>2039</v>
      </c>
      <c r="B112" s="91" t="n">
        <v>0.0517</v>
      </c>
      <c r="C112" s="91" t="n">
        <v>0.0368</v>
      </c>
      <c r="D112" s="91" t="n">
        <v>0.0447</v>
      </c>
      <c r="E112" s="91" t="n">
        <v>0.0302</v>
      </c>
      <c r="F112" s="91" t="n">
        <v>0.0425</v>
      </c>
      <c r="G112" s="91" t="n">
        <v>0.0131</v>
      </c>
      <c r="H112" s="91" t="n">
        <v>0.219</v>
      </c>
    </row>
    <row r="113">
      <c r="A113" s="3" t="n">
        <v>2040</v>
      </c>
      <c r="B113" s="90" t="n">
        <v>0.0528</v>
      </c>
      <c r="C113" s="90" t="n">
        <v>0.0384</v>
      </c>
      <c r="D113" s="90" t="n">
        <v>0.048</v>
      </c>
      <c r="E113" s="90" t="n">
        <v>0.0336</v>
      </c>
      <c r="F113" s="90" t="n">
        <v>0.0528</v>
      </c>
      <c r="G113" s="90" t="n">
        <v>0.0144</v>
      </c>
      <c r="H113" s="90" t="n">
        <v>0.24</v>
      </c>
    </row>
    <row r="114">
      <c r="A114" s="5" t="n">
        <v>2041</v>
      </c>
      <c r="B114" s="91" t="n">
        <v>0.055</v>
      </c>
      <c r="C114" s="91" t="n">
        <v>0.0396</v>
      </c>
      <c r="D114" s="91" t="n">
        <v>0.0504</v>
      </c>
      <c r="E114" s="91" t="n">
        <v>0.0365</v>
      </c>
      <c r="F114" s="91" t="n">
        <v>0.0596</v>
      </c>
      <c r="G114" s="91" t="n">
        <v>0.0159</v>
      </c>
      <c r="H114" s="91" t="n">
        <v>0.257</v>
      </c>
    </row>
    <row r="115">
      <c r="A115" s="7" t="n">
        <v>2042</v>
      </c>
      <c r="B115" s="92" t="n">
        <v>0.057</v>
      </c>
      <c r="C115" s="92" t="n">
        <v>0.0406</v>
      </c>
      <c r="D115" s="92" t="n">
        <v>0.0526</v>
      </c>
      <c r="E115" s="92" t="n">
        <v>0.0395</v>
      </c>
      <c r="F115" s="92" t="n">
        <v>0.0669</v>
      </c>
      <c r="G115" s="92" t="n">
        <v>0.0174</v>
      </c>
      <c r="H115" s="92" t="n">
        <v>0.274</v>
      </c>
    </row>
    <row r="116">
      <c r="A116" s="5" t="n">
        <v>2043</v>
      </c>
      <c r="B116" s="91" t="n">
        <v>0.0588</v>
      </c>
      <c r="C116" s="91" t="n">
        <v>0.0413</v>
      </c>
      <c r="D116" s="91" t="n">
        <v>0.0547</v>
      </c>
      <c r="E116" s="91" t="n">
        <v>0.0425</v>
      </c>
      <c r="F116" s="91" t="n">
        <v>0.0745</v>
      </c>
      <c r="G116" s="91" t="n">
        <v>0.0192</v>
      </c>
      <c r="H116" s="91" t="n">
        <v>0.291</v>
      </c>
    </row>
    <row r="117">
      <c r="A117" s="7" t="n">
        <v>2044</v>
      </c>
      <c r="B117" s="92" t="n">
        <v>0.0604</v>
      </c>
      <c r="C117" s="92" t="n">
        <v>0.0419</v>
      </c>
      <c r="D117" s="92" t="n">
        <v>0.0567</v>
      </c>
      <c r="E117" s="92" t="n">
        <v>0.0456</v>
      </c>
      <c r="F117" s="92" t="n">
        <v>0.0825</v>
      </c>
      <c r="G117" s="92" t="n">
        <v>0.0209</v>
      </c>
      <c r="H117" s="92" t="n">
        <v>0.308</v>
      </c>
    </row>
    <row r="118">
      <c r="A118" s="5" t="n">
        <v>2045</v>
      </c>
      <c r="B118" s="91" t="n">
        <v>0.0617</v>
      </c>
      <c r="C118" s="91" t="n">
        <v>0.0423</v>
      </c>
      <c r="D118" s="91" t="n">
        <v>0.0585</v>
      </c>
      <c r="E118" s="91" t="n">
        <v>0.0488</v>
      </c>
      <c r="F118" s="91" t="n">
        <v>0.091</v>
      </c>
      <c r="G118" s="91" t="n">
        <v>0.0227</v>
      </c>
      <c r="H118" s="91" t="n">
        <v>0.325</v>
      </c>
    </row>
    <row r="119">
      <c r="A119" s="7" t="n">
        <v>2046</v>
      </c>
      <c r="B119" s="92" t="n">
        <v>0.0629</v>
      </c>
      <c r="C119" s="92" t="n">
        <v>0.0424</v>
      </c>
      <c r="D119" s="92" t="n">
        <v>0.0602</v>
      </c>
      <c r="E119" s="92" t="n">
        <v>0.052</v>
      </c>
      <c r="F119" s="92" t="n">
        <v>0.0999</v>
      </c>
      <c r="G119" s="92" t="n">
        <v>0.0246</v>
      </c>
      <c r="H119" s="92" t="n">
        <v>0.342</v>
      </c>
    </row>
    <row r="120">
      <c r="A120" s="5" t="n">
        <v>2047</v>
      </c>
      <c r="B120" s="91" t="n">
        <v>0.0639</v>
      </c>
      <c r="C120" s="91" t="n">
        <v>0.0424</v>
      </c>
      <c r="D120" s="91" t="n">
        <v>0.0617</v>
      </c>
      <c r="E120" s="91" t="n">
        <v>0.0553</v>
      </c>
      <c r="F120" s="91" t="n">
        <v>0.1091</v>
      </c>
      <c r="G120" s="91" t="n">
        <v>0.0266</v>
      </c>
      <c r="H120" s="91" t="n">
        <v>0.359</v>
      </c>
    </row>
    <row r="121">
      <c r="A121" s="7" t="n">
        <v>2048</v>
      </c>
      <c r="B121" s="92" t="n">
        <v>0.06469999999999999</v>
      </c>
      <c r="C121" s="92" t="n">
        <v>0.0421</v>
      </c>
      <c r="D121" s="92" t="n">
        <v>0.06320000000000001</v>
      </c>
      <c r="E121" s="92" t="n">
        <v>0.0587</v>
      </c>
      <c r="F121" s="92" t="n">
        <v>0.1188</v>
      </c>
      <c r="G121" s="92" t="n">
        <v>0.0285</v>
      </c>
      <c r="H121" s="92" t="n">
        <v>0.376</v>
      </c>
    </row>
    <row r="122">
      <c r="A122" s="5" t="n">
        <v>2049</v>
      </c>
      <c r="B122" s="91" t="n">
        <v>0.06519999999999999</v>
      </c>
      <c r="C122" s="91" t="n">
        <v>0.0417</v>
      </c>
      <c r="D122" s="91" t="n">
        <v>0.0645</v>
      </c>
      <c r="E122" s="91" t="n">
        <v>0.0621</v>
      </c>
      <c r="F122" s="91" t="n">
        <v>0.1289</v>
      </c>
      <c r="G122" s="91" t="n">
        <v>0.0306</v>
      </c>
      <c r="H122" s="91" t="n">
        <v>0.393</v>
      </c>
    </row>
    <row r="123">
      <c r="A123" s="3" t="n">
        <v>2050</v>
      </c>
      <c r="B123" s="90" t="n">
        <v>0.06560000000000001</v>
      </c>
      <c r="C123" s="90" t="n">
        <v>0.041</v>
      </c>
      <c r="D123" s="90" t="n">
        <v>0.06560000000000001</v>
      </c>
      <c r="E123" s="90" t="n">
        <v>0.06560000000000001</v>
      </c>
      <c r="F123" s="90" t="n">
        <v>0.1394</v>
      </c>
      <c r="G123" s="90" t="n">
        <v>0.0328</v>
      </c>
      <c r="H123" s="90" t="n">
        <v>0.41</v>
      </c>
    </row>
    <row r="124">
      <c r="A124" s="5" t="n">
        <v>2051</v>
      </c>
      <c r="B124" s="91" t="n">
        <v>0.066</v>
      </c>
      <c r="C124" s="91" t="n">
        <v>0.0415</v>
      </c>
      <c r="D124" s="91" t="n">
        <v>0.066</v>
      </c>
      <c r="E124" s="91" t="n">
        <v>0.0677</v>
      </c>
      <c r="F124" s="91" t="n">
        <v>0.1472</v>
      </c>
      <c r="G124" s="91" t="n">
        <v>0.0346</v>
      </c>
      <c r="H124" s="91" t="n">
        <v>0.423</v>
      </c>
    </row>
    <row r="125">
      <c r="A125" s="7" t="n">
        <v>2052</v>
      </c>
      <c r="B125" s="92" t="n">
        <v>0.0663</v>
      </c>
      <c r="C125" s="92" t="n">
        <v>0.0419</v>
      </c>
      <c r="D125" s="92" t="n">
        <v>0.0663</v>
      </c>
      <c r="E125" s="92" t="n">
        <v>0.0698</v>
      </c>
      <c r="F125" s="92" t="n">
        <v>0.1552</v>
      </c>
      <c r="G125" s="92" t="n">
        <v>0.0365</v>
      </c>
      <c r="H125" s="92" t="n">
        <v>0.436</v>
      </c>
    </row>
    <row r="126">
      <c r="A126" s="5" t="n">
        <v>2053</v>
      </c>
      <c r="B126" s="91" t="n">
        <v>0.0665</v>
      </c>
      <c r="C126" s="91" t="n">
        <v>0.0422</v>
      </c>
      <c r="D126" s="91" t="n">
        <v>0.0665</v>
      </c>
      <c r="E126" s="91" t="n">
        <v>0.0718</v>
      </c>
      <c r="F126" s="91" t="n">
        <v>0.1634</v>
      </c>
      <c r="G126" s="91" t="n">
        <v>0.0386</v>
      </c>
      <c r="H126" s="91" t="n">
        <v>0.449</v>
      </c>
    </row>
    <row r="127">
      <c r="A127" s="7" t="n">
        <v>2054</v>
      </c>
      <c r="B127" s="92" t="n">
        <v>0.0665</v>
      </c>
      <c r="C127" s="92" t="n">
        <v>0.0425</v>
      </c>
      <c r="D127" s="92" t="n">
        <v>0.0665</v>
      </c>
      <c r="E127" s="92" t="n">
        <v>0.07389999999999999</v>
      </c>
      <c r="F127" s="92" t="n">
        <v>0.1719</v>
      </c>
      <c r="G127" s="92" t="n">
        <v>0.0407</v>
      </c>
      <c r="H127" s="92" t="n">
        <v>0.462</v>
      </c>
    </row>
    <row r="128">
      <c r="A128" s="5" t="n">
        <v>2055</v>
      </c>
      <c r="B128" s="91" t="n">
        <v>0.0665</v>
      </c>
      <c r="C128" s="91" t="n">
        <v>0.0427</v>
      </c>
      <c r="D128" s="91" t="n">
        <v>0.0665</v>
      </c>
      <c r="E128" s="91" t="n">
        <v>0.076</v>
      </c>
      <c r="F128" s="91" t="n">
        <v>0.1805</v>
      </c>
      <c r="G128" s="91" t="n">
        <v>0.0428</v>
      </c>
      <c r="H128" s="91" t="n">
        <v>0.475</v>
      </c>
    </row>
    <row r="129">
      <c r="A129" s="7" t="n">
        <v>2056</v>
      </c>
      <c r="B129" s="92" t="n">
        <v>0.0664</v>
      </c>
      <c r="C129" s="92" t="n">
        <v>0.0429</v>
      </c>
      <c r="D129" s="92" t="n">
        <v>0.0664</v>
      </c>
      <c r="E129" s="92" t="n">
        <v>0.0781</v>
      </c>
      <c r="F129" s="92" t="n">
        <v>0.1893</v>
      </c>
      <c r="G129" s="92" t="n">
        <v>0.0449</v>
      </c>
      <c r="H129" s="92" t="n">
        <v>0.488</v>
      </c>
    </row>
    <row r="130">
      <c r="A130" s="5" t="n">
        <v>2057</v>
      </c>
      <c r="B130" s="91" t="n">
        <v>0.06610000000000001</v>
      </c>
      <c r="C130" s="91" t="n">
        <v>0.0431</v>
      </c>
      <c r="D130" s="91" t="n">
        <v>0.06610000000000001</v>
      </c>
      <c r="E130" s="91" t="n">
        <v>0.08019999999999999</v>
      </c>
      <c r="F130" s="91" t="n">
        <v>0.1984</v>
      </c>
      <c r="G130" s="91" t="n">
        <v>0.0471</v>
      </c>
      <c r="H130" s="91" t="n">
        <v>0.501</v>
      </c>
    </row>
    <row r="131">
      <c r="A131" s="7" t="n">
        <v>2058</v>
      </c>
      <c r="B131" s="92" t="n">
        <v>0.0658</v>
      </c>
      <c r="C131" s="92" t="n">
        <v>0.0432</v>
      </c>
      <c r="D131" s="92" t="n">
        <v>0.0658</v>
      </c>
      <c r="E131" s="92" t="n">
        <v>0.0822</v>
      </c>
      <c r="F131" s="92" t="n">
        <v>0.2077</v>
      </c>
      <c r="G131" s="92" t="n">
        <v>0.0493</v>
      </c>
      <c r="H131" s="92" t="n">
        <v>0.514</v>
      </c>
    </row>
    <row r="132">
      <c r="A132" s="5" t="n">
        <v>2059</v>
      </c>
      <c r="B132" s="91" t="n">
        <v>0.0653</v>
      </c>
      <c r="C132" s="91" t="n">
        <v>0.0432</v>
      </c>
      <c r="D132" s="91" t="n">
        <v>0.0653</v>
      </c>
      <c r="E132" s="91" t="n">
        <v>0.0843</v>
      </c>
      <c r="F132" s="91" t="n">
        <v>0.2171</v>
      </c>
      <c r="G132" s="91" t="n">
        <v>0.0518</v>
      </c>
      <c r="H132" s="91" t="n">
        <v>0.527</v>
      </c>
    </row>
    <row r="133">
      <c r="A133" s="3" t="n">
        <v>2060</v>
      </c>
      <c r="B133" s="90" t="n">
        <v>0.0648</v>
      </c>
      <c r="C133" s="90" t="n">
        <v>0.0432</v>
      </c>
      <c r="D133" s="90" t="n">
        <v>0.0648</v>
      </c>
      <c r="E133" s="90" t="n">
        <v>0.0864</v>
      </c>
      <c r="F133" s="90" t="n">
        <v>0.2268</v>
      </c>
      <c r="G133" s="90" t="n">
        <v>0.054</v>
      </c>
      <c r="H133" s="90" t="n">
        <v>0.54</v>
      </c>
    </row>
    <row r="135">
      <c r="A135" s="70" t="inlineStr">
        <is>
          <t>D. 关键节点说明</t>
        </is>
      </c>
    </row>
    <row r="136">
      <c r="A136" s="39" t="inlineStr">
        <is>
          <t xml:space="preserve">  2024年：碳强度=0.590 tCO2/t，较2024下降0.0%，CO2排放=10.80亿吨 /  2030年：碳强度=0.521 tCO2/t，较2024下降11.7%，CO2排放=6.67亿吨 /  2035年：碳强度=0.454 tCO2/t，较2024下降23.1%，CO2排放=5.36亿吨 /  2040年：碳强度=0.350 tCO2/t，较2024下降40.7%，CO2排放=3.67亿吨 /  2050年：碳强度=0.180 tCO2/t，较2024下降69.5%，CO2排放=1.04亿吨 /  2060年：碳强度=0.050 tCO2/t，较2024下降91.5%，CO2排放=0.24亿吨</t>
        </is>
      </c>
    </row>
    <row r="137"/>
    <row r="138"/>
    <row r="139"/>
    <row r="140"/>
    <row r="141"/>
  </sheetData>
  <mergeCells count="3">
    <mergeCell ref="A136:H141"/>
    <mergeCell ref="A2:H2"/>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41"/>
  <sheetViews>
    <sheetView topLeftCell="A77" workbookViewId="0">
      <selection activeCell="A1" sqref="A1:H1"/>
    </sheetView>
  </sheetViews>
  <sheetFormatPr baseColWidth="8" defaultColWidth="9" defaultRowHeight="16.8"/>
  <cols>
    <col width="8" customWidth="1" min="1" max="1"/>
    <col width="14" customWidth="1" min="2" max="2"/>
    <col width="16" customWidth="1" min="3" max="3"/>
    <col width="12" customWidth="1" min="4" max="4"/>
    <col width="10" customWidth="1" min="5" max="5"/>
    <col width="14" customWidth="1" min="6" max="8"/>
    <col width="16" customWidth="1" min="9" max="9"/>
    <col width="14" customWidth="1" min="10" max="14"/>
  </cols>
  <sheetData>
    <row r="1" ht="20.4" customHeight="1">
      <c r="A1" s="64" t="inlineStr">
        <is>
          <t>适度情景（2°C路径）★推荐基准 —— 水泥行业减碳基准路径</t>
        </is>
      </c>
    </row>
    <row r="2">
      <c r="A2" s="47" t="inlineStr">
        <is>
          <t>数据来源：IFS-CGE模型2°C路径 + 行业运行数据校准 + 2030/2035关键节点约束修正</t>
        </is>
      </c>
    </row>
    <row r="4">
      <c r="A4" s="65" t="inlineStr">
        <is>
          <t>A. 宏观经济参数（北大国发院基准情景，与钢铁模型通用）</t>
        </is>
      </c>
    </row>
    <row r="5" ht="31" customHeight="1">
      <c r="A5" s="66" t="inlineStr">
        <is>
          <t>年份</t>
        </is>
      </c>
      <c r="B5" s="66" t="inlineStr">
        <is>
          <t>GDP增长率(%)</t>
        </is>
      </c>
      <c r="C5" s="66" t="inlineStr">
        <is>
          <t>实际GDP
(2020价万亿)</t>
        </is>
      </c>
      <c r="D5" s="66" t="inlineStr">
        <is>
          <t>人口(亿人)</t>
        </is>
      </c>
      <c r="E5" s="66" t="inlineStr">
        <is>
          <t>城镇化率(%)</t>
        </is>
      </c>
    </row>
    <row r="6">
      <c r="A6" s="3" t="n">
        <v>2024</v>
      </c>
      <c r="B6" s="78" t="n">
        <v>0.049</v>
      </c>
      <c r="C6" s="51" t="n">
        <v>124.92</v>
      </c>
      <c r="D6" s="12" t="n">
        <v>14.08</v>
      </c>
      <c r="E6" s="78" t="n">
        <v>0.663</v>
      </c>
    </row>
    <row r="7">
      <c r="A7" s="5" t="n">
        <v>2025</v>
      </c>
      <c r="B7" s="79" t="n">
        <v>0.045</v>
      </c>
      <c r="C7" s="53" t="n">
        <v>130.54</v>
      </c>
      <c r="D7" s="14" t="n">
        <v>14.08</v>
      </c>
      <c r="E7" s="79" t="n">
        <v>0.67</v>
      </c>
    </row>
    <row r="8">
      <c r="A8" s="7" t="n">
        <v>2026</v>
      </c>
      <c r="B8" s="80" t="n">
        <v>0.043</v>
      </c>
      <c r="C8" s="55" t="n">
        <v>136.15</v>
      </c>
      <c r="D8" s="16" t="n">
        <v>14.06</v>
      </c>
      <c r="E8" s="80" t="n">
        <v>0.677</v>
      </c>
    </row>
    <row r="9">
      <c r="A9" s="5" t="n">
        <v>2027</v>
      </c>
      <c r="B9" s="79" t="n">
        <v>0.041</v>
      </c>
      <c r="C9" s="53" t="n">
        <v>141.72</v>
      </c>
      <c r="D9" s="14" t="n">
        <v>14.04</v>
      </c>
      <c r="E9" s="79" t="n">
        <v>0.6840000000000001</v>
      </c>
    </row>
    <row r="10">
      <c r="A10" s="7" t="n">
        <v>2028</v>
      </c>
      <c r="B10" s="80" t="n">
        <v>0.039</v>
      </c>
      <c r="C10" s="55" t="n">
        <v>147.25</v>
      </c>
      <c r="D10" s="16" t="n">
        <v>14.01</v>
      </c>
      <c r="E10" s="80" t="n">
        <v>0.6899999999999999</v>
      </c>
    </row>
    <row r="11">
      <c r="A11" s="5" t="n">
        <v>2029</v>
      </c>
      <c r="B11" s="79" t="n">
        <v>0.037</v>
      </c>
      <c r="C11" s="53" t="n">
        <v>152.7</v>
      </c>
      <c r="D11" s="14" t="n">
        <v>13.98</v>
      </c>
      <c r="E11" s="79" t="n">
        <v>0.696</v>
      </c>
    </row>
    <row r="12">
      <c r="A12" s="3" t="n">
        <v>2030</v>
      </c>
      <c r="B12" s="78" t="n">
        <v>0.035</v>
      </c>
      <c r="C12" s="51" t="n">
        <v>158.04</v>
      </c>
      <c r="D12" s="12" t="n">
        <v>13.95</v>
      </c>
      <c r="E12" s="78" t="n">
        <v>0.702</v>
      </c>
    </row>
    <row r="13">
      <c r="A13" s="5" t="n">
        <v>2031</v>
      </c>
      <c r="B13" s="79" t="n">
        <v>0.033</v>
      </c>
      <c r="C13" s="53" t="n">
        <v>163.26</v>
      </c>
      <c r="D13" s="14" t="n">
        <v>13.92</v>
      </c>
      <c r="E13" s="79" t="n">
        <v>0.707</v>
      </c>
    </row>
    <row r="14">
      <c r="A14" s="7" t="n">
        <v>2032</v>
      </c>
      <c r="B14" s="80" t="n">
        <v>0.031</v>
      </c>
      <c r="C14" s="55" t="n">
        <v>168.32</v>
      </c>
      <c r="D14" s="16" t="n">
        <v>13.88</v>
      </c>
      <c r="E14" s="80" t="n">
        <v>0.712</v>
      </c>
    </row>
    <row r="15">
      <c r="A15" s="5" t="n">
        <v>2033</v>
      </c>
      <c r="B15" s="79" t="n">
        <v>0.03</v>
      </c>
      <c r="C15" s="53" t="n">
        <v>173.37</v>
      </c>
      <c r="D15" s="14" t="n">
        <v>13.84</v>
      </c>
      <c r="E15" s="79" t="n">
        <v>0.717</v>
      </c>
    </row>
    <row r="16">
      <c r="A16" s="7" t="n">
        <v>2034</v>
      </c>
      <c r="B16" s="80" t="n">
        <v>0.028</v>
      </c>
      <c r="C16" s="55" t="n">
        <v>178.22</v>
      </c>
      <c r="D16" s="16" t="n">
        <v>13.8</v>
      </c>
      <c r="E16" s="80" t="n">
        <v>0.722</v>
      </c>
    </row>
    <row r="17">
      <c r="A17" s="9" t="n">
        <v>2035</v>
      </c>
      <c r="B17" s="81" t="n">
        <v>0.027</v>
      </c>
      <c r="C17" s="57" t="n">
        <v>183.03</v>
      </c>
      <c r="D17" s="18" t="n">
        <v>13.75</v>
      </c>
      <c r="E17" s="81" t="n">
        <v>0.726</v>
      </c>
    </row>
    <row r="18">
      <c r="A18" s="7" t="n">
        <v>2036</v>
      </c>
      <c r="B18" s="80" t="n">
        <v>0.025</v>
      </c>
      <c r="C18" s="55" t="n">
        <v>187.61</v>
      </c>
      <c r="D18" s="16" t="n">
        <v>13.71</v>
      </c>
      <c r="E18" s="80" t="n">
        <v>0.73</v>
      </c>
    </row>
    <row r="19">
      <c r="A19" s="5" t="n">
        <v>2037</v>
      </c>
      <c r="B19" s="79" t="n">
        <v>0.024</v>
      </c>
      <c r="C19" s="53" t="n">
        <v>192.11</v>
      </c>
      <c r="D19" s="14" t="n">
        <v>13.66</v>
      </c>
      <c r="E19" s="79" t="n">
        <v>0.735</v>
      </c>
    </row>
    <row r="20">
      <c r="A20" s="7" t="n">
        <v>2038</v>
      </c>
      <c r="B20" s="80" t="n">
        <v>0.022</v>
      </c>
      <c r="C20" s="55" t="n">
        <v>196.34</v>
      </c>
      <c r="D20" s="16" t="n">
        <v>13.61</v>
      </c>
      <c r="E20" s="80" t="n">
        <v>0.739</v>
      </c>
    </row>
    <row r="21">
      <c r="A21" s="5" t="n">
        <v>2039</v>
      </c>
      <c r="B21" s="79" t="n">
        <v>0.021</v>
      </c>
      <c r="C21" s="53" t="n">
        <v>200.46</v>
      </c>
      <c r="D21" s="14" t="n">
        <v>13.56</v>
      </c>
      <c r="E21" s="79" t="n">
        <v>0.743</v>
      </c>
    </row>
    <row r="22">
      <c r="A22" s="3" t="n">
        <v>2040</v>
      </c>
      <c r="B22" s="78" t="n">
        <v>0.02</v>
      </c>
      <c r="C22" s="51" t="n">
        <v>204.47</v>
      </c>
      <c r="D22" s="12" t="n">
        <v>13.5</v>
      </c>
      <c r="E22" s="78" t="n">
        <v>0.747</v>
      </c>
    </row>
    <row r="23">
      <c r="A23" s="5" t="n">
        <v>2041</v>
      </c>
      <c r="B23" s="79" t="n">
        <v>0.018</v>
      </c>
      <c r="C23" s="53" t="n">
        <v>208.15</v>
      </c>
      <c r="D23" s="14" t="n">
        <v>13.45</v>
      </c>
      <c r="E23" s="79" t="n">
        <v>0.751</v>
      </c>
    </row>
    <row r="24">
      <c r="A24" s="7" t="n">
        <v>2042</v>
      </c>
      <c r="B24" s="80" t="n">
        <v>0.017</v>
      </c>
      <c r="C24" s="55" t="n">
        <v>211.69</v>
      </c>
      <c r="D24" s="16" t="n">
        <v>13.39</v>
      </c>
      <c r="E24" s="80" t="n">
        <v>0.755</v>
      </c>
    </row>
    <row r="25">
      <c r="A25" s="5" t="n">
        <v>2043</v>
      </c>
      <c r="B25" s="79" t="n">
        <v>0.016</v>
      </c>
      <c r="C25" s="53" t="n">
        <v>215.08</v>
      </c>
      <c r="D25" s="14" t="n">
        <v>13.33</v>
      </c>
      <c r="E25" s="79" t="n">
        <v>0.759</v>
      </c>
    </row>
    <row r="26">
      <c r="A26" s="7" t="n">
        <v>2044</v>
      </c>
      <c r="B26" s="80" t="n">
        <v>0.015</v>
      </c>
      <c r="C26" s="55" t="n">
        <v>218.31</v>
      </c>
      <c r="D26" s="16" t="n">
        <v>13.27</v>
      </c>
      <c r="E26" s="80" t="n">
        <v>0.763</v>
      </c>
    </row>
    <row r="27">
      <c r="A27" s="5" t="n">
        <v>2045</v>
      </c>
      <c r="B27" s="79" t="n">
        <v>0.015</v>
      </c>
      <c r="C27" s="53" t="n">
        <v>221.59</v>
      </c>
      <c r="D27" s="14" t="n">
        <v>13.2</v>
      </c>
      <c r="E27" s="79" t="n">
        <v>0.767</v>
      </c>
    </row>
    <row r="28">
      <c r="A28" s="7" t="n">
        <v>2046</v>
      </c>
      <c r="B28" s="80" t="n">
        <v>0.013</v>
      </c>
      <c r="C28" s="55" t="n">
        <v>224.47</v>
      </c>
      <c r="D28" s="16" t="n">
        <v>13.14</v>
      </c>
      <c r="E28" s="80" t="n">
        <v>0.771</v>
      </c>
    </row>
    <row r="29">
      <c r="A29" s="5" t="n">
        <v>2047</v>
      </c>
      <c r="B29" s="79" t="n">
        <v>0.012</v>
      </c>
      <c r="C29" s="53" t="n">
        <v>227.17</v>
      </c>
      <c r="D29" s="14" t="n">
        <v>13.07</v>
      </c>
      <c r="E29" s="79" t="n">
        <v>0.775</v>
      </c>
    </row>
    <row r="30">
      <c r="A30" s="7" t="n">
        <v>2048</v>
      </c>
      <c r="B30" s="80" t="n">
        <v>0.011</v>
      </c>
      <c r="C30" s="55" t="n">
        <v>229.67</v>
      </c>
      <c r="D30" s="16" t="n">
        <v>13</v>
      </c>
      <c r="E30" s="80" t="n">
        <v>0.779</v>
      </c>
    </row>
    <row r="31">
      <c r="A31" s="5" t="n">
        <v>2049</v>
      </c>
      <c r="B31" s="79" t="n">
        <v>0.01</v>
      </c>
      <c r="C31" s="53" t="n">
        <v>231.97</v>
      </c>
      <c r="D31" s="14" t="n">
        <v>12.93</v>
      </c>
      <c r="E31" s="79" t="n">
        <v>0.783</v>
      </c>
    </row>
    <row r="32">
      <c r="A32" s="3" t="n">
        <v>2050</v>
      </c>
      <c r="B32" s="78" t="n">
        <v>0.01</v>
      </c>
      <c r="C32" s="51" t="n">
        <v>234.29</v>
      </c>
      <c r="D32" s="12" t="n">
        <v>12.86</v>
      </c>
      <c r="E32" s="78" t="n">
        <v>0.787</v>
      </c>
    </row>
    <row r="33">
      <c r="A33" s="5" t="n">
        <v>2051</v>
      </c>
      <c r="B33" s="79" t="n">
        <v>0.008</v>
      </c>
      <c r="C33" s="53" t="n">
        <v>236.17</v>
      </c>
      <c r="D33" s="14" t="n">
        <v>12.79</v>
      </c>
      <c r="E33" s="79" t="n">
        <v>0.791</v>
      </c>
    </row>
    <row r="34">
      <c r="A34" s="7" t="n">
        <v>2052</v>
      </c>
      <c r="B34" s="80" t="n">
        <v>0.007</v>
      </c>
      <c r="C34" s="55" t="n">
        <v>237.82</v>
      </c>
      <c r="D34" s="16" t="n">
        <v>12.72</v>
      </c>
      <c r="E34" s="80" t="n">
        <v>0.795</v>
      </c>
    </row>
    <row r="35">
      <c r="A35" s="5" t="n">
        <v>2053</v>
      </c>
      <c r="B35" s="79" t="n">
        <v>0.006</v>
      </c>
      <c r="C35" s="53" t="n">
        <v>239.25</v>
      </c>
      <c r="D35" s="14" t="n">
        <v>12.65</v>
      </c>
      <c r="E35" s="79" t="n">
        <v>0.799</v>
      </c>
    </row>
    <row r="36">
      <c r="A36" s="7" t="n">
        <v>2054</v>
      </c>
      <c r="B36" s="80" t="n">
        <v>0.006</v>
      </c>
      <c r="C36" s="55" t="n">
        <v>240.68</v>
      </c>
      <c r="D36" s="16" t="n">
        <v>12.57</v>
      </c>
      <c r="E36" s="80" t="n">
        <v>0.803</v>
      </c>
    </row>
    <row r="37">
      <c r="A37" s="5" t="n">
        <v>2055</v>
      </c>
      <c r="B37" s="79" t="n">
        <v>0.005</v>
      </c>
      <c r="C37" s="53" t="n">
        <v>241.89</v>
      </c>
      <c r="D37" s="14" t="n">
        <v>12.5</v>
      </c>
      <c r="E37" s="79" t="n">
        <v>0.8070000000000001</v>
      </c>
    </row>
    <row r="38">
      <c r="A38" s="7" t="n">
        <v>2056</v>
      </c>
      <c r="B38" s="80" t="n">
        <v>0.004</v>
      </c>
      <c r="C38" s="55" t="n">
        <v>242.86</v>
      </c>
      <c r="D38" s="16" t="n">
        <v>12.42</v>
      </c>
      <c r="E38" s="80" t="n">
        <v>0.8100000000000001</v>
      </c>
    </row>
    <row r="39">
      <c r="A39" s="5" t="n">
        <v>2057</v>
      </c>
      <c r="B39" s="79" t="n">
        <v>0.004</v>
      </c>
      <c r="C39" s="53" t="n">
        <v>243.83</v>
      </c>
      <c r="D39" s="14" t="n">
        <v>12.34</v>
      </c>
      <c r="E39" s="79" t="n">
        <v>0.8139999999999999</v>
      </c>
    </row>
    <row r="40">
      <c r="A40" s="7" t="n">
        <v>2058</v>
      </c>
      <c r="B40" s="80" t="n">
        <v>0.003</v>
      </c>
      <c r="C40" s="55" t="n">
        <v>244.56</v>
      </c>
      <c r="D40" s="16" t="n">
        <v>12.26</v>
      </c>
      <c r="E40" s="80" t="n">
        <v>0.8179999999999999</v>
      </c>
    </row>
    <row r="41">
      <c r="A41" s="5" t="n">
        <v>2059</v>
      </c>
      <c r="B41" s="79" t="n">
        <v>0.003</v>
      </c>
      <c r="C41" s="53" t="n">
        <v>245.3</v>
      </c>
      <c r="D41" s="14" t="n">
        <v>12.18</v>
      </c>
      <c r="E41" s="79" t="n">
        <v>0.822</v>
      </c>
    </row>
    <row r="42">
      <c r="A42" s="3" t="n">
        <v>2060</v>
      </c>
      <c r="B42" s="78" t="n">
        <v>0.002</v>
      </c>
      <c r="C42" s="51" t="n">
        <v>245.79</v>
      </c>
      <c r="D42" s="12" t="n">
        <v>12.11</v>
      </c>
      <c r="E42" s="78" t="n">
        <v>0.826</v>
      </c>
    </row>
    <row r="44">
      <c r="A44" s="65" t="inlineStr">
        <is>
          <t>B. 水泥行业关键假设</t>
        </is>
      </c>
    </row>
    <row r="45" ht="46" customHeight="1">
      <c r="A45" s="66" t="inlineStr">
        <is>
          <t>年份</t>
        </is>
      </c>
      <c r="B45" s="66" t="inlineStr">
        <is>
          <t>水泥产量
(亿吨)</t>
        </is>
      </c>
      <c r="C45" s="66" t="inlineStr">
        <is>
          <t>CO2排放
(亿吨)</t>
        </is>
      </c>
      <c r="D45" s="66" t="inlineStr">
        <is>
          <t>吨水泥碳强度
(tCO2/t)</t>
        </is>
      </c>
      <c r="E45" s="66" t="inlineStr">
        <is>
          <t>较2024累计
降幅(%)</t>
        </is>
      </c>
    </row>
    <row r="46">
      <c r="A46" s="3" t="n">
        <v>2024</v>
      </c>
      <c r="B46" s="82" t="n">
        <v>18.3</v>
      </c>
      <c r="C46" s="12" t="n">
        <v>10.8</v>
      </c>
      <c r="D46" s="83" t="n">
        <v>0.59</v>
      </c>
      <c r="E46" s="78" t="n">
        <v>0</v>
      </c>
    </row>
    <row r="47">
      <c r="A47" s="5" t="n">
        <v>2025</v>
      </c>
      <c r="B47" s="84" t="n">
        <v>17.5</v>
      </c>
      <c r="C47" s="14" t="n">
        <v>10.2</v>
      </c>
      <c r="D47" s="85" t="n">
        <v>0.583</v>
      </c>
      <c r="E47" s="79" t="n">
        <v>-0.012</v>
      </c>
    </row>
    <row r="48">
      <c r="A48" s="7" t="n">
        <v>2026</v>
      </c>
      <c r="B48" s="86" t="n">
        <v>16.7</v>
      </c>
      <c r="C48" s="16" t="n">
        <v>9.619999999999999</v>
      </c>
      <c r="D48" s="87" t="n">
        <v>0.576</v>
      </c>
      <c r="E48" s="80" t="n">
        <v>-0.024</v>
      </c>
    </row>
    <row r="49">
      <c r="A49" s="5" t="n">
        <v>2027</v>
      </c>
      <c r="B49" s="84" t="n">
        <v>15.9</v>
      </c>
      <c r="C49" s="14" t="n">
        <v>9.050000000000001</v>
      </c>
      <c r="D49" s="85" t="n">
        <v>0.569</v>
      </c>
      <c r="E49" s="79" t="n">
        <v>-0.036</v>
      </c>
    </row>
    <row r="50">
      <c r="A50" s="7" t="n">
        <v>2028</v>
      </c>
      <c r="B50" s="86" t="n">
        <v>15</v>
      </c>
      <c r="C50" s="16" t="n">
        <v>8.42</v>
      </c>
      <c r="D50" s="87" t="n">
        <v>0.5610000000000001</v>
      </c>
      <c r="E50" s="80" t="n">
        <v>-0.049</v>
      </c>
    </row>
    <row r="51">
      <c r="A51" s="5" t="n">
        <v>2029</v>
      </c>
      <c r="B51" s="84" t="n">
        <v>14.2</v>
      </c>
      <c r="C51" s="14" t="n">
        <v>7.87</v>
      </c>
      <c r="D51" s="85" t="n">
        <v>0.554</v>
      </c>
      <c r="E51" s="79" t="n">
        <v>-0.061</v>
      </c>
    </row>
    <row r="52">
      <c r="A52" s="3" t="n">
        <v>2030</v>
      </c>
      <c r="B52" s="82" t="n">
        <v>13.4</v>
      </c>
      <c r="C52" s="12" t="n">
        <v>7.33</v>
      </c>
      <c r="D52" s="83" t="n">
        <v>0.547</v>
      </c>
      <c r="E52" s="78" t="n">
        <v>-0.073</v>
      </c>
    </row>
    <row r="53">
      <c r="A53" s="5" t="n">
        <v>2031</v>
      </c>
      <c r="B53" s="84" t="n">
        <v>13.3</v>
      </c>
      <c r="C53" s="14" t="n">
        <v>7.14</v>
      </c>
      <c r="D53" s="85" t="n">
        <v>0.537</v>
      </c>
      <c r="E53" s="79" t="n">
        <v>-0.09</v>
      </c>
    </row>
    <row r="54">
      <c r="A54" s="7" t="n">
        <v>2032</v>
      </c>
      <c r="B54" s="86" t="n">
        <v>13.2</v>
      </c>
      <c r="C54" s="16" t="n">
        <v>6.96</v>
      </c>
      <c r="D54" s="87" t="n">
        <v>0.527</v>
      </c>
      <c r="E54" s="80" t="n">
        <v>-0.107</v>
      </c>
    </row>
    <row r="55">
      <c r="A55" s="5" t="n">
        <v>2033</v>
      </c>
      <c r="B55" s="84" t="n">
        <v>13.1</v>
      </c>
      <c r="C55" s="14" t="n">
        <v>6.76</v>
      </c>
      <c r="D55" s="85" t="n">
        <v>0.516</v>
      </c>
      <c r="E55" s="79" t="n">
        <v>-0.125</v>
      </c>
    </row>
    <row r="56">
      <c r="A56" s="7" t="n">
        <v>2034</v>
      </c>
      <c r="B56" s="86" t="n">
        <v>13</v>
      </c>
      <c r="C56" s="16" t="n">
        <v>6.58</v>
      </c>
      <c r="D56" s="87" t="n">
        <v>0.506</v>
      </c>
      <c r="E56" s="80" t="n">
        <v>-0.142</v>
      </c>
    </row>
    <row r="57">
      <c r="A57" s="9" t="n">
        <v>2035</v>
      </c>
      <c r="B57" s="88" t="n">
        <v>12.9</v>
      </c>
      <c r="C57" s="18" t="n">
        <v>6.4</v>
      </c>
      <c r="D57" s="89" t="n">
        <v>0.496</v>
      </c>
      <c r="E57" s="81" t="n">
        <v>-0.159</v>
      </c>
    </row>
    <row r="58">
      <c r="A58" s="7" t="n">
        <v>2036</v>
      </c>
      <c r="B58" s="86" t="n">
        <v>12.7</v>
      </c>
      <c r="C58" s="16" t="n">
        <v>6.11</v>
      </c>
      <c r="D58" s="87" t="n">
        <v>0.481</v>
      </c>
      <c r="E58" s="80" t="n">
        <v>-0.185</v>
      </c>
    </row>
    <row r="59">
      <c r="A59" s="5" t="n">
        <v>2037</v>
      </c>
      <c r="B59" s="84" t="n">
        <v>12.4</v>
      </c>
      <c r="C59" s="14" t="n">
        <v>5.78</v>
      </c>
      <c r="D59" s="85" t="n">
        <v>0.466</v>
      </c>
      <c r="E59" s="79" t="n">
        <v>-0.21</v>
      </c>
    </row>
    <row r="60">
      <c r="A60" s="7" t="n">
        <v>2038</v>
      </c>
      <c r="B60" s="86" t="n">
        <v>12.2</v>
      </c>
      <c r="C60" s="16" t="n">
        <v>5.49</v>
      </c>
      <c r="D60" s="87" t="n">
        <v>0.45</v>
      </c>
      <c r="E60" s="80" t="n">
        <v>-0.237</v>
      </c>
    </row>
    <row r="61">
      <c r="A61" s="5" t="n">
        <v>2039</v>
      </c>
      <c r="B61" s="84" t="n">
        <v>11.9</v>
      </c>
      <c r="C61" s="14" t="n">
        <v>5.18</v>
      </c>
      <c r="D61" s="85" t="n">
        <v>0.435</v>
      </c>
      <c r="E61" s="79" t="n">
        <v>-0.263</v>
      </c>
    </row>
    <row r="62">
      <c r="A62" s="3" t="n">
        <v>2040</v>
      </c>
      <c r="B62" s="82" t="n">
        <v>11.7</v>
      </c>
      <c r="C62" s="12" t="n">
        <v>4.91</v>
      </c>
      <c r="D62" s="83" t="n">
        <v>0.42</v>
      </c>
      <c r="E62" s="78" t="n">
        <v>-0.288</v>
      </c>
    </row>
    <row r="63">
      <c r="A63" s="5" t="n">
        <v>2041</v>
      </c>
      <c r="B63" s="84" t="n">
        <v>11.2</v>
      </c>
      <c r="C63" s="14" t="n">
        <v>4.49</v>
      </c>
      <c r="D63" s="85" t="n">
        <v>0.401</v>
      </c>
      <c r="E63" s="79" t="n">
        <v>-0.32</v>
      </c>
    </row>
    <row r="64">
      <c r="A64" s="7" t="n">
        <v>2042</v>
      </c>
      <c r="B64" s="86" t="n">
        <v>10.7</v>
      </c>
      <c r="C64" s="16" t="n">
        <v>4.09</v>
      </c>
      <c r="D64" s="87" t="n">
        <v>0.382</v>
      </c>
      <c r="E64" s="80" t="n">
        <v>-0.353</v>
      </c>
    </row>
    <row r="65">
      <c r="A65" s="5" t="n">
        <v>2043</v>
      </c>
      <c r="B65" s="84" t="n">
        <v>10.1</v>
      </c>
      <c r="C65" s="14" t="n">
        <v>3.67</v>
      </c>
      <c r="D65" s="85" t="n">
        <v>0.363</v>
      </c>
      <c r="E65" s="79" t="n">
        <v>-0.385</v>
      </c>
    </row>
    <row r="66">
      <c r="A66" s="7" t="n">
        <v>2044</v>
      </c>
      <c r="B66" s="86" t="n">
        <v>9.6</v>
      </c>
      <c r="C66" s="16" t="n">
        <v>3.3</v>
      </c>
      <c r="D66" s="87" t="n">
        <v>0.344</v>
      </c>
      <c r="E66" s="80" t="n">
        <v>-0.417</v>
      </c>
    </row>
    <row r="67">
      <c r="A67" s="5" t="n">
        <v>2045</v>
      </c>
      <c r="B67" s="84" t="n">
        <v>9.1</v>
      </c>
      <c r="C67" s="14" t="n">
        <v>2.96</v>
      </c>
      <c r="D67" s="85" t="n">
        <v>0.325</v>
      </c>
      <c r="E67" s="79" t="n">
        <v>-0.449</v>
      </c>
    </row>
    <row r="68">
      <c r="A68" s="7" t="n">
        <v>2046</v>
      </c>
      <c r="B68" s="86" t="n">
        <v>8.6</v>
      </c>
      <c r="C68" s="16" t="n">
        <v>2.63</v>
      </c>
      <c r="D68" s="87" t="n">
        <v>0.306</v>
      </c>
      <c r="E68" s="80" t="n">
        <v>-0.481</v>
      </c>
    </row>
    <row r="69">
      <c r="A69" s="5" t="n">
        <v>2047</v>
      </c>
      <c r="B69" s="84" t="n">
        <v>8.1</v>
      </c>
      <c r="C69" s="14" t="n">
        <v>2.32</v>
      </c>
      <c r="D69" s="85" t="n">
        <v>0.287</v>
      </c>
      <c r="E69" s="79" t="n">
        <v>-0.514</v>
      </c>
    </row>
    <row r="70">
      <c r="A70" s="7" t="n">
        <v>2048</v>
      </c>
      <c r="B70" s="86" t="n">
        <v>7.5</v>
      </c>
      <c r="C70" s="16" t="n">
        <v>2.01</v>
      </c>
      <c r="D70" s="87" t="n">
        <v>0.268</v>
      </c>
      <c r="E70" s="80" t="n">
        <v>-0.546</v>
      </c>
    </row>
    <row r="71">
      <c r="A71" s="5" t="n">
        <v>2049</v>
      </c>
      <c r="B71" s="84" t="n">
        <v>7</v>
      </c>
      <c r="C71" s="14" t="n">
        <v>1.74</v>
      </c>
      <c r="D71" s="85" t="n">
        <v>0.249</v>
      </c>
      <c r="E71" s="79" t="n">
        <v>-0.578</v>
      </c>
    </row>
    <row r="72">
      <c r="A72" s="3" t="n">
        <v>2050</v>
      </c>
      <c r="B72" s="82" t="n">
        <v>6.5</v>
      </c>
      <c r="C72" s="12" t="n">
        <v>1.5</v>
      </c>
      <c r="D72" s="83" t="n">
        <v>0.23</v>
      </c>
      <c r="E72" s="78" t="n">
        <v>-0.61</v>
      </c>
    </row>
    <row r="73">
      <c r="A73" s="5" t="n">
        <v>2051</v>
      </c>
      <c r="B73" s="84" t="n">
        <v>6.4</v>
      </c>
      <c r="C73" s="14" t="n">
        <v>1.38</v>
      </c>
      <c r="D73" s="85" t="n">
        <v>0.215</v>
      </c>
      <c r="E73" s="79" t="n">
        <v>-0.636</v>
      </c>
    </row>
    <row r="74">
      <c r="A74" s="7" t="n">
        <v>2052</v>
      </c>
      <c r="B74" s="86" t="n">
        <v>6.3</v>
      </c>
      <c r="C74" s="16" t="n">
        <v>1.27</v>
      </c>
      <c r="D74" s="87" t="n">
        <v>0.201</v>
      </c>
      <c r="E74" s="80" t="n">
        <v>-0.659</v>
      </c>
    </row>
    <row r="75">
      <c r="A75" s="5" t="n">
        <v>2053</v>
      </c>
      <c r="B75" s="84" t="n">
        <v>6.2</v>
      </c>
      <c r="C75" s="14" t="n">
        <v>1.15</v>
      </c>
      <c r="D75" s="85" t="n">
        <v>0.186</v>
      </c>
      <c r="E75" s="79" t="n">
        <v>-0.6850000000000001</v>
      </c>
    </row>
    <row r="76">
      <c r="A76" s="7" t="n">
        <v>2054</v>
      </c>
      <c r="B76" s="86" t="n">
        <v>6.1</v>
      </c>
      <c r="C76" s="16" t="n">
        <v>1.05</v>
      </c>
      <c r="D76" s="87" t="n">
        <v>0.172</v>
      </c>
      <c r="E76" s="80" t="n">
        <v>-0.708</v>
      </c>
    </row>
    <row r="77">
      <c r="A77" s="5" t="n">
        <v>2055</v>
      </c>
      <c r="B77" s="84" t="n">
        <v>6</v>
      </c>
      <c r="C77" s="14" t="n">
        <v>0.95</v>
      </c>
      <c r="D77" s="85" t="n">
        <v>0.158</v>
      </c>
      <c r="E77" s="79" t="n">
        <v>-0.732</v>
      </c>
    </row>
    <row r="78">
      <c r="A78" s="7" t="n">
        <v>2056</v>
      </c>
      <c r="B78" s="86" t="n">
        <v>5.9</v>
      </c>
      <c r="C78" s="16" t="n">
        <v>0.84</v>
      </c>
      <c r="D78" s="87" t="n">
        <v>0.143</v>
      </c>
      <c r="E78" s="80" t="n">
        <v>-0.758</v>
      </c>
    </row>
    <row r="79">
      <c r="A79" s="5" t="n">
        <v>2057</v>
      </c>
      <c r="B79" s="84" t="n">
        <v>5.8</v>
      </c>
      <c r="C79" s="14" t="n">
        <v>0.75</v>
      </c>
      <c r="D79" s="85" t="n">
        <v>0.129</v>
      </c>
      <c r="E79" s="79" t="n">
        <v>-0.781</v>
      </c>
    </row>
    <row r="80">
      <c r="A80" s="7" t="n">
        <v>2058</v>
      </c>
      <c r="B80" s="86" t="n">
        <v>5.7</v>
      </c>
      <c r="C80" s="16" t="n">
        <v>0.65</v>
      </c>
      <c r="D80" s="87" t="n">
        <v>0.114</v>
      </c>
      <c r="E80" s="80" t="n">
        <v>-0.8070000000000001</v>
      </c>
    </row>
    <row r="81">
      <c r="A81" s="5" t="n">
        <v>2059</v>
      </c>
      <c r="B81" s="84" t="n">
        <v>5.6</v>
      </c>
      <c r="C81" s="14" t="n">
        <v>0.55</v>
      </c>
      <c r="D81" s="85" t="n">
        <v>0.099</v>
      </c>
      <c r="E81" s="79" t="n">
        <v>-0.832</v>
      </c>
    </row>
    <row r="82">
      <c r="A82" s="3" t="n">
        <v>2060</v>
      </c>
      <c r="B82" s="82" t="n">
        <v>5.5</v>
      </c>
      <c r="C82" s="12" t="n">
        <v>0.47</v>
      </c>
      <c r="D82" s="83" t="n">
        <v>0.08500000000000001</v>
      </c>
      <c r="E82" s="78" t="n">
        <v>-0.856</v>
      </c>
    </row>
    <row r="84">
      <c r="A84" s="65" t="inlineStr">
        <is>
          <t>C. 技术路径降碳潜力分解（单位：tCO2/t水泥）</t>
        </is>
      </c>
    </row>
    <row r="85">
      <c r="A85" s="67" t="inlineStr">
        <is>
          <t>各技术路径降碳贡献比例（关键年份）：</t>
        </is>
      </c>
    </row>
    <row r="86" ht="31" customHeight="1">
      <c r="A86" s="68" t="inlineStr">
        <is>
          <t>技术路径</t>
        </is>
      </c>
      <c r="B86" s="68" t="inlineStr">
        <is>
          <t>2024年</t>
        </is>
      </c>
      <c r="C86" s="68" t="inlineStr">
        <is>
          <t>2030年</t>
        </is>
      </c>
      <c r="D86" s="68" t="inlineStr">
        <is>
          <t>2035年</t>
        </is>
      </c>
      <c r="E86" s="68" t="inlineStr">
        <is>
          <t>2040年</t>
        </is>
      </c>
      <c r="F86" s="68" t="inlineStr">
        <is>
          <t>2050年</t>
        </is>
      </c>
      <c r="G86" s="68" t="inlineStr">
        <is>
          <t>2060年</t>
        </is>
      </c>
    </row>
    <row r="87" ht="46" customHeight="1">
      <c r="A87" s="25" t="inlineStr">
        <is>
          <t>产能优化/产量下降</t>
        </is>
      </c>
      <c r="B87" s="25" t="inlineStr">
        <is>
          <t>100%</t>
        </is>
      </c>
      <c r="C87" s="25" t="inlineStr">
        <is>
          <t>45%</t>
        </is>
      </c>
      <c r="D87" s="25" t="inlineStr">
        <is>
          <t>38%</t>
        </is>
      </c>
      <c r="E87" s="25" t="inlineStr">
        <is>
          <t>32%</t>
        </is>
      </c>
      <c r="F87" s="25" t="inlineStr">
        <is>
          <t>24%</t>
        </is>
      </c>
      <c r="G87" s="25" t="inlineStr">
        <is>
          <t>20%</t>
        </is>
      </c>
    </row>
    <row r="88" ht="31" customHeight="1">
      <c r="A88" s="41" t="inlineStr">
        <is>
          <t>极致能效提升</t>
        </is>
      </c>
      <c r="B88" s="41" t="inlineStr">
        <is>
          <t>0%</t>
        </is>
      </c>
      <c r="C88" s="41" t="inlineStr">
        <is>
          <t>22%</t>
        </is>
      </c>
      <c r="D88" s="41" t="inlineStr">
        <is>
          <t>21%</t>
        </is>
      </c>
      <c r="E88" s="41" t="inlineStr">
        <is>
          <t>19%</t>
        </is>
      </c>
      <c r="F88" s="41" t="inlineStr">
        <is>
          <t>15%</t>
        </is>
      </c>
      <c r="G88" s="41" t="inlineStr">
        <is>
          <t>10%</t>
        </is>
      </c>
    </row>
    <row r="89" ht="31" customHeight="1">
      <c r="A89" s="20" t="inlineStr">
        <is>
          <t>替代燃料(TSR)</t>
        </is>
      </c>
      <c r="B89" s="20" t="inlineStr">
        <is>
          <t>0%</t>
        </is>
      </c>
      <c r="C89" s="20" t="inlineStr">
        <is>
          <t>16%</t>
        </is>
      </c>
      <c r="D89" s="20" t="inlineStr">
        <is>
          <t>19%</t>
        </is>
      </c>
      <c r="E89" s="20" t="inlineStr">
        <is>
          <t>20%</t>
        </is>
      </c>
      <c r="F89" s="20" t="inlineStr">
        <is>
          <t>18%</t>
        </is>
      </c>
      <c r="G89" s="20" t="inlineStr">
        <is>
          <t>16%</t>
        </is>
      </c>
    </row>
    <row r="90" ht="46" customHeight="1">
      <c r="A90" s="41" t="inlineStr">
        <is>
          <t>熟料替代/低碳熟料</t>
        </is>
      </c>
      <c r="B90" s="41" t="inlineStr">
        <is>
          <t>0%</t>
        </is>
      </c>
      <c r="C90" s="41" t="inlineStr">
        <is>
          <t>8%</t>
        </is>
      </c>
      <c r="D90" s="41" t="inlineStr">
        <is>
          <t>10%</t>
        </is>
      </c>
      <c r="E90" s="41" t="inlineStr">
        <is>
          <t>12%</t>
        </is>
      </c>
      <c r="F90" s="41" t="inlineStr">
        <is>
          <t>15%</t>
        </is>
      </c>
      <c r="G90" s="41" t="inlineStr">
        <is>
          <t>14%</t>
        </is>
      </c>
    </row>
    <row r="91" ht="31" customHeight="1">
      <c r="A91" s="20" t="inlineStr">
        <is>
          <t>CCUS碳捕集</t>
        </is>
      </c>
      <c r="B91" s="20" t="inlineStr">
        <is>
          <t>0%</t>
        </is>
      </c>
      <c r="C91" s="20" t="inlineStr">
        <is>
          <t>0%</t>
        </is>
      </c>
      <c r="D91" s="20" t="inlineStr">
        <is>
          <t>5%</t>
        </is>
      </c>
      <c r="E91" s="20" t="inlineStr">
        <is>
          <t>10%</t>
        </is>
      </c>
      <c r="F91" s="20" t="inlineStr">
        <is>
          <t>20%</t>
        </is>
      </c>
      <c r="G91" s="20" t="inlineStr">
        <is>
          <t>28%</t>
        </is>
      </c>
    </row>
    <row r="92" ht="46" customHeight="1">
      <c r="A92" s="41" t="inlineStr">
        <is>
          <t>其他(碳汇/绿电等)</t>
        </is>
      </c>
      <c r="B92" s="41" t="inlineStr">
        <is>
          <t>0%</t>
        </is>
      </c>
      <c r="C92" s="41" t="inlineStr">
        <is>
          <t>9%</t>
        </is>
      </c>
      <c r="D92" s="41" t="inlineStr">
        <is>
          <t>7%</t>
        </is>
      </c>
      <c r="E92" s="41" t="inlineStr">
        <is>
          <t>7%</t>
        </is>
      </c>
      <c r="F92" s="41" t="inlineStr">
        <is>
          <t>8%</t>
        </is>
      </c>
      <c r="G92" s="41" t="inlineStr">
        <is>
          <t>12%</t>
        </is>
      </c>
    </row>
    <row r="93">
      <c r="A93" s="25" t="inlineStr">
        <is>
          <t>合计</t>
        </is>
      </c>
      <c r="B93" s="25" t="inlineStr">
        <is>
          <t>100%</t>
        </is>
      </c>
      <c r="C93" s="25" t="inlineStr">
        <is>
          <t>100%</t>
        </is>
      </c>
      <c r="D93" s="25" t="inlineStr">
        <is>
          <t>100%</t>
        </is>
      </c>
      <c r="E93" s="25" t="inlineStr">
        <is>
          <t>100%</t>
        </is>
      </c>
      <c r="F93" s="25" t="inlineStr">
        <is>
          <t>100%</t>
        </is>
      </c>
      <c r="G93" s="25" t="inlineStr">
        <is>
          <t>100%</t>
        </is>
      </c>
    </row>
    <row r="95">
      <c r="A95" s="67" t="inlineStr">
        <is>
          <t>各技术路径绝对降碳量（tCO2/t水泥，逐年）：</t>
        </is>
      </c>
    </row>
    <row r="96" ht="31" customHeight="1">
      <c r="A96" s="66" t="inlineStr">
        <is>
          <t>年份</t>
        </is>
      </c>
      <c r="B96" s="66" t="inlineStr">
        <is>
          <t>产能优化/产量下降</t>
        </is>
      </c>
      <c r="C96" s="66" t="inlineStr">
        <is>
          <t>极致能效提升</t>
        </is>
      </c>
      <c r="D96" s="66" t="inlineStr">
        <is>
          <t>替代燃料(TSR)</t>
        </is>
      </c>
      <c r="E96" s="66" t="inlineStr">
        <is>
          <t>熟料替代/低碳熟料</t>
        </is>
      </c>
      <c r="F96" s="66" t="inlineStr">
        <is>
          <t>CCUS碳捕集</t>
        </is>
      </c>
      <c r="G96" s="66" t="inlineStr">
        <is>
          <t>其他(碳汇/绿电等)</t>
        </is>
      </c>
      <c r="H96" s="66" t="inlineStr">
        <is>
          <t>合计降碳量</t>
        </is>
      </c>
    </row>
    <row r="97">
      <c r="A97" s="3" t="n">
        <v>2024</v>
      </c>
      <c r="B97" s="90" t="n">
        <v>0</v>
      </c>
      <c r="C97" s="90" t="n">
        <v>0</v>
      </c>
      <c r="D97" s="90" t="n">
        <v>0</v>
      </c>
      <c r="E97" s="90" t="n">
        <v>0</v>
      </c>
      <c r="F97" s="90" t="n">
        <v>0</v>
      </c>
      <c r="G97" s="90" t="n">
        <v>0</v>
      </c>
      <c r="H97" s="90" t="n">
        <v>0</v>
      </c>
    </row>
    <row r="98">
      <c r="A98" s="5" t="n">
        <v>2025</v>
      </c>
      <c r="B98" s="91" t="n">
        <v>0.0064</v>
      </c>
      <c r="C98" s="91" t="n">
        <v>0.0003</v>
      </c>
      <c r="D98" s="91" t="n">
        <v>0.0002</v>
      </c>
      <c r="E98" s="91" t="n">
        <v>0.0001</v>
      </c>
      <c r="F98" s="91" t="n">
        <v>0</v>
      </c>
      <c r="G98" s="91" t="n">
        <v>0</v>
      </c>
      <c r="H98" s="91" t="n">
        <v>0.007</v>
      </c>
    </row>
    <row r="99">
      <c r="A99" s="7" t="n">
        <v>2026</v>
      </c>
      <c r="B99" s="92" t="n">
        <v>0.0114</v>
      </c>
      <c r="C99" s="92" t="n">
        <v>0.001</v>
      </c>
      <c r="D99" s="92" t="n">
        <v>0.0007</v>
      </c>
      <c r="E99" s="92" t="n">
        <v>0.0004</v>
      </c>
      <c r="F99" s="92" t="n">
        <v>0</v>
      </c>
      <c r="G99" s="92" t="n">
        <v>0.0005</v>
      </c>
      <c r="H99" s="92" t="n">
        <v>0.014</v>
      </c>
    </row>
    <row r="100">
      <c r="A100" s="5" t="n">
        <v>2027</v>
      </c>
      <c r="B100" s="91" t="n">
        <v>0.0152</v>
      </c>
      <c r="C100" s="91" t="n">
        <v>0.0023</v>
      </c>
      <c r="D100" s="91" t="n">
        <v>0.0017</v>
      </c>
      <c r="E100" s="91" t="n">
        <v>0.0008</v>
      </c>
      <c r="F100" s="91" t="n">
        <v>0</v>
      </c>
      <c r="G100" s="91" t="n">
        <v>0.001</v>
      </c>
      <c r="H100" s="91" t="n">
        <v>0.021</v>
      </c>
    </row>
    <row r="101">
      <c r="A101" s="7" t="n">
        <v>2028</v>
      </c>
      <c r="B101" s="92" t="n">
        <v>0.0184</v>
      </c>
      <c r="C101" s="92" t="n">
        <v>0.0043</v>
      </c>
      <c r="D101" s="92" t="n">
        <v>0.0031</v>
      </c>
      <c r="E101" s="92" t="n">
        <v>0.0015</v>
      </c>
      <c r="F101" s="92" t="n">
        <v>0</v>
      </c>
      <c r="G101" s="92" t="n">
        <v>0.0017</v>
      </c>
      <c r="H101" s="92" t="n">
        <v>0.029</v>
      </c>
    </row>
    <row r="102">
      <c r="A102" s="5" t="n">
        <v>2029</v>
      </c>
      <c r="B102" s="91" t="n">
        <v>0.0195</v>
      </c>
      <c r="C102" s="91" t="n">
        <v>0.0066</v>
      </c>
      <c r="D102" s="91" t="n">
        <v>0.0048</v>
      </c>
      <c r="E102" s="91" t="n">
        <v>0.0024</v>
      </c>
      <c r="F102" s="91" t="n">
        <v>0</v>
      </c>
      <c r="G102" s="91" t="n">
        <v>0.0027</v>
      </c>
      <c r="H102" s="91" t="n">
        <v>0.036</v>
      </c>
    </row>
    <row r="103">
      <c r="A103" s="3" t="n">
        <v>2030</v>
      </c>
      <c r="B103" s="90" t="n">
        <v>0.0193</v>
      </c>
      <c r="C103" s="90" t="n">
        <v>0.0095</v>
      </c>
      <c r="D103" s="90" t="n">
        <v>0.0069</v>
      </c>
      <c r="E103" s="90" t="n">
        <v>0.0034</v>
      </c>
      <c r="F103" s="90" t="n">
        <v>0</v>
      </c>
      <c r="G103" s="90" t="n">
        <v>0.0039</v>
      </c>
      <c r="H103" s="90" t="n">
        <v>0.043</v>
      </c>
    </row>
    <row r="104">
      <c r="A104" s="5" t="n">
        <v>2031</v>
      </c>
      <c r="B104" s="91" t="n">
        <v>0.0231</v>
      </c>
      <c r="C104" s="91" t="n">
        <v>0.0116</v>
      </c>
      <c r="D104" s="91" t="n">
        <v>0.008800000000000001</v>
      </c>
      <c r="E104" s="91" t="n">
        <v>0.0045</v>
      </c>
      <c r="F104" s="91" t="n">
        <v>0.0005</v>
      </c>
      <c r="G104" s="91" t="n">
        <v>0.0045</v>
      </c>
      <c r="H104" s="91" t="n">
        <v>0.053</v>
      </c>
    </row>
    <row r="105">
      <c r="A105" s="7" t="n">
        <v>2032</v>
      </c>
      <c r="B105" s="92" t="n">
        <v>0.0266</v>
      </c>
      <c r="C105" s="92" t="n">
        <v>0.0136</v>
      </c>
      <c r="D105" s="92" t="n">
        <v>0.0108</v>
      </c>
      <c r="E105" s="92" t="n">
        <v>0.0055</v>
      </c>
      <c r="F105" s="92" t="n">
        <v>0.0013</v>
      </c>
      <c r="G105" s="92" t="n">
        <v>0.0052</v>
      </c>
      <c r="H105" s="92" t="n">
        <v>0.063</v>
      </c>
    </row>
    <row r="106">
      <c r="A106" s="5" t="n">
        <v>2033</v>
      </c>
      <c r="B106" s="91" t="n">
        <v>0.0302</v>
      </c>
      <c r="C106" s="91" t="n">
        <v>0.0158</v>
      </c>
      <c r="D106" s="91" t="n">
        <v>0.0132</v>
      </c>
      <c r="E106" s="91" t="n">
        <v>0.0068</v>
      </c>
      <c r="F106" s="91" t="n">
        <v>0.0022</v>
      </c>
      <c r="G106" s="91" t="n">
        <v>0.0058</v>
      </c>
      <c r="H106" s="91" t="n">
        <v>0.074</v>
      </c>
    </row>
    <row r="107">
      <c r="A107" s="7" t="n">
        <v>2034</v>
      </c>
      <c r="B107" s="92" t="n">
        <v>0.0331</v>
      </c>
      <c r="C107" s="92" t="n">
        <v>0.0178</v>
      </c>
      <c r="D107" s="92" t="n">
        <v>0.0155</v>
      </c>
      <c r="E107" s="92" t="n">
        <v>0.0081</v>
      </c>
      <c r="F107" s="92" t="n">
        <v>0.0034</v>
      </c>
      <c r="G107" s="92" t="n">
        <v>0.0061</v>
      </c>
      <c r="H107" s="92" t="n">
        <v>0.08400000000000001</v>
      </c>
    </row>
    <row r="108">
      <c r="A108" s="9" t="n">
        <v>2035</v>
      </c>
      <c r="B108" s="93" t="n">
        <v>0.0357</v>
      </c>
      <c r="C108" s="93" t="n">
        <v>0.0197</v>
      </c>
      <c r="D108" s="93" t="n">
        <v>0.0179</v>
      </c>
      <c r="E108" s="93" t="n">
        <v>0.0094</v>
      </c>
      <c r="F108" s="93" t="n">
        <v>0.0047</v>
      </c>
      <c r="G108" s="93" t="n">
        <v>0.0066</v>
      </c>
      <c r="H108" s="93" t="n">
        <v>0.094</v>
      </c>
    </row>
    <row r="109">
      <c r="A109" s="7" t="n">
        <v>2036</v>
      </c>
      <c r="B109" s="92" t="n">
        <v>0.0401</v>
      </c>
      <c r="C109" s="92" t="n">
        <v>0.0225</v>
      </c>
      <c r="D109" s="92" t="n">
        <v>0.0209</v>
      </c>
      <c r="E109" s="92" t="n">
        <v>0.0113</v>
      </c>
      <c r="F109" s="92" t="n">
        <v>0.0065</v>
      </c>
      <c r="G109" s="92" t="n">
        <v>0.0077</v>
      </c>
      <c r="H109" s="92" t="n">
        <v>0.109</v>
      </c>
    </row>
    <row r="110">
      <c r="A110" s="5" t="n">
        <v>2037</v>
      </c>
      <c r="B110" s="91" t="n">
        <v>0.0441</v>
      </c>
      <c r="C110" s="91" t="n">
        <v>0.025</v>
      </c>
      <c r="D110" s="91" t="n">
        <v>0.0241</v>
      </c>
      <c r="E110" s="91" t="n">
        <v>0.0134</v>
      </c>
      <c r="F110" s="91" t="n">
        <v>0.008699999999999999</v>
      </c>
      <c r="G110" s="91" t="n">
        <v>0.008699999999999999</v>
      </c>
      <c r="H110" s="91" t="n">
        <v>0.124</v>
      </c>
    </row>
    <row r="111">
      <c r="A111" s="7" t="n">
        <v>2038</v>
      </c>
      <c r="B111" s="92" t="n">
        <v>0.0482</v>
      </c>
      <c r="C111" s="92" t="n">
        <v>0.0277</v>
      </c>
      <c r="D111" s="92" t="n">
        <v>0.0274</v>
      </c>
      <c r="E111" s="92" t="n">
        <v>0.0157</v>
      </c>
      <c r="F111" s="92" t="n">
        <v>0.0112</v>
      </c>
      <c r="G111" s="92" t="n">
        <v>0.0098</v>
      </c>
      <c r="H111" s="92" t="n">
        <v>0.14</v>
      </c>
    </row>
    <row r="112">
      <c r="A112" s="5" t="n">
        <v>2039</v>
      </c>
      <c r="B112" s="91" t="n">
        <v>0.0515</v>
      </c>
      <c r="C112" s="91" t="n">
        <v>0.0301</v>
      </c>
      <c r="D112" s="91" t="n">
        <v>0.0307</v>
      </c>
      <c r="E112" s="91" t="n">
        <v>0.018</v>
      </c>
      <c r="F112" s="91" t="n">
        <v>0.014</v>
      </c>
      <c r="G112" s="91" t="n">
        <v>0.0107</v>
      </c>
      <c r="H112" s="91" t="n">
        <v>0.155</v>
      </c>
    </row>
    <row r="113">
      <c r="A113" s="3" t="n">
        <v>2040</v>
      </c>
      <c r="B113" s="90" t="n">
        <v>0.0544</v>
      </c>
      <c r="C113" s="90" t="n">
        <v>0.0323</v>
      </c>
      <c r="D113" s="90" t="n">
        <v>0.034</v>
      </c>
      <c r="E113" s="90" t="n">
        <v>0.0204</v>
      </c>
      <c r="F113" s="90" t="n">
        <v>0.017</v>
      </c>
      <c r="G113" s="90" t="n">
        <v>0.0119</v>
      </c>
      <c r="H113" s="90" t="n">
        <v>0.17</v>
      </c>
    </row>
    <row r="114">
      <c r="A114" s="5" t="n">
        <v>2041</v>
      </c>
      <c r="B114" s="91" t="n">
        <v>0.059</v>
      </c>
      <c r="C114" s="91" t="n">
        <v>0.0352</v>
      </c>
      <c r="D114" s="91" t="n">
        <v>0.0374</v>
      </c>
      <c r="E114" s="91" t="n">
        <v>0.0232</v>
      </c>
      <c r="F114" s="91" t="n">
        <v>0.0208</v>
      </c>
      <c r="G114" s="91" t="n">
        <v>0.0134</v>
      </c>
      <c r="H114" s="91" t="n">
        <v>0.189</v>
      </c>
    </row>
    <row r="115">
      <c r="A115" s="7" t="n">
        <v>2042</v>
      </c>
      <c r="B115" s="92" t="n">
        <v>0.06320000000000001</v>
      </c>
      <c r="C115" s="92" t="n">
        <v>0.0379</v>
      </c>
      <c r="D115" s="92" t="n">
        <v>0.0408</v>
      </c>
      <c r="E115" s="92" t="n">
        <v>0.0262</v>
      </c>
      <c r="F115" s="92" t="n">
        <v>0.025</v>
      </c>
      <c r="G115" s="92" t="n">
        <v>0.0149</v>
      </c>
      <c r="H115" s="92" t="n">
        <v>0.208</v>
      </c>
    </row>
    <row r="116">
      <c r="A116" s="5" t="n">
        <v>2043</v>
      </c>
      <c r="B116" s="91" t="n">
        <v>0.0672</v>
      </c>
      <c r="C116" s="91" t="n">
        <v>0.0404</v>
      </c>
      <c r="D116" s="91" t="n">
        <v>0.044</v>
      </c>
      <c r="E116" s="91" t="n">
        <v>0.0293</v>
      </c>
      <c r="F116" s="91" t="n">
        <v>0.0295</v>
      </c>
      <c r="G116" s="91" t="n">
        <v>0.0166</v>
      </c>
      <c r="H116" s="91" t="n">
        <v>0.227</v>
      </c>
    </row>
    <row r="117">
      <c r="A117" s="7" t="n">
        <v>2044</v>
      </c>
      <c r="B117" s="92" t="n">
        <v>0.0708</v>
      </c>
      <c r="C117" s="92" t="n">
        <v>0.0428</v>
      </c>
      <c r="D117" s="92" t="n">
        <v>0.0472</v>
      </c>
      <c r="E117" s="92" t="n">
        <v>0.0325</v>
      </c>
      <c r="F117" s="92" t="n">
        <v>0.0344</v>
      </c>
      <c r="G117" s="92" t="n">
        <v>0.0183</v>
      </c>
      <c r="H117" s="92" t="n">
        <v>0.246</v>
      </c>
    </row>
    <row r="118">
      <c r="A118" s="5" t="n">
        <v>2045</v>
      </c>
      <c r="B118" s="91" t="n">
        <v>0.0742</v>
      </c>
      <c r="C118" s="91" t="n">
        <v>0.045</v>
      </c>
      <c r="D118" s="91" t="n">
        <v>0.0503</v>
      </c>
      <c r="E118" s="91" t="n">
        <v>0.0358</v>
      </c>
      <c r="F118" s="91" t="n">
        <v>0.0398</v>
      </c>
      <c r="G118" s="91" t="n">
        <v>0.0199</v>
      </c>
      <c r="H118" s="91" t="n">
        <v>0.265</v>
      </c>
    </row>
    <row r="119">
      <c r="A119" s="7" t="n">
        <v>2046</v>
      </c>
      <c r="B119" s="92" t="n">
        <v>0.0772</v>
      </c>
      <c r="C119" s="92" t="n">
        <v>0.0471</v>
      </c>
      <c r="D119" s="92" t="n">
        <v>0.0534</v>
      </c>
      <c r="E119" s="92" t="n">
        <v>0.0392</v>
      </c>
      <c r="F119" s="92" t="n">
        <v>0.0454</v>
      </c>
      <c r="G119" s="92" t="n">
        <v>0.0217</v>
      </c>
      <c r="H119" s="92" t="n">
        <v>0.284</v>
      </c>
    </row>
    <row r="120">
      <c r="A120" s="5" t="n">
        <v>2047</v>
      </c>
      <c r="B120" s="91" t="n">
        <v>0.08</v>
      </c>
      <c r="C120" s="91" t="n">
        <v>0.0491</v>
      </c>
      <c r="D120" s="91" t="n">
        <v>0.0564</v>
      </c>
      <c r="E120" s="91" t="n">
        <v>0.0427</v>
      </c>
      <c r="F120" s="91" t="n">
        <v>0.0515</v>
      </c>
      <c r="G120" s="91" t="n">
        <v>0.0233</v>
      </c>
      <c r="H120" s="91" t="n">
        <v>0.303</v>
      </c>
    </row>
    <row r="121">
      <c r="A121" s="7" t="n">
        <v>2048</v>
      </c>
      <c r="B121" s="92" t="n">
        <v>0.0824</v>
      </c>
      <c r="C121" s="92" t="n">
        <v>0.0509</v>
      </c>
      <c r="D121" s="92" t="n">
        <v>0.0592</v>
      </c>
      <c r="E121" s="92" t="n">
        <v>0.0464</v>
      </c>
      <c r="F121" s="92" t="n">
        <v>0.058</v>
      </c>
      <c r="G121" s="92" t="n">
        <v>0.0251</v>
      </c>
      <c r="H121" s="92" t="n">
        <v>0.322</v>
      </c>
    </row>
    <row r="122">
      <c r="A122" s="5" t="n">
        <v>2049</v>
      </c>
      <c r="B122" s="91" t="n">
        <v>0.08459999999999999</v>
      </c>
      <c r="C122" s="91" t="n">
        <v>0.0525</v>
      </c>
      <c r="D122" s="91" t="n">
        <v>0.0621</v>
      </c>
      <c r="E122" s="91" t="n">
        <v>0.0501</v>
      </c>
      <c r="F122" s="91" t="n">
        <v>0.0648</v>
      </c>
      <c r="G122" s="91" t="n">
        <v>0.0269</v>
      </c>
      <c r="H122" s="91" t="n">
        <v>0.341</v>
      </c>
    </row>
    <row r="123">
      <c r="A123" s="3" t="n">
        <v>2050</v>
      </c>
      <c r="B123" s="90" t="n">
        <v>0.0864</v>
      </c>
      <c r="C123" s="90" t="n">
        <v>0.054</v>
      </c>
      <c r="D123" s="90" t="n">
        <v>0.0648</v>
      </c>
      <c r="E123" s="90" t="n">
        <v>0.054</v>
      </c>
      <c r="F123" s="90" t="n">
        <v>0.07199999999999999</v>
      </c>
      <c r="G123" s="90" t="n">
        <v>0.0288</v>
      </c>
      <c r="H123" s="90" t="n">
        <v>0.36</v>
      </c>
    </row>
    <row r="124">
      <c r="A124" s="5" t="n">
        <v>2051</v>
      </c>
      <c r="B124" s="91" t="n">
        <v>0.0885</v>
      </c>
      <c r="C124" s="91" t="n">
        <v>0.0544</v>
      </c>
      <c r="D124" s="91" t="n">
        <v>0.0668</v>
      </c>
      <c r="E124" s="91" t="n">
        <v>0.0559</v>
      </c>
      <c r="F124" s="91" t="n">
        <v>0.078</v>
      </c>
      <c r="G124" s="91" t="n">
        <v>0.0314</v>
      </c>
      <c r="H124" s="91" t="n">
        <v>0.375</v>
      </c>
    </row>
    <row r="125">
      <c r="A125" s="7" t="n">
        <v>2052</v>
      </c>
      <c r="B125" s="92" t="n">
        <v>0.0902</v>
      </c>
      <c r="C125" s="92" t="n">
        <v>0.0545</v>
      </c>
      <c r="D125" s="92" t="n">
        <v>0.06850000000000001</v>
      </c>
      <c r="E125" s="92" t="n">
        <v>0.0576</v>
      </c>
      <c r="F125" s="92" t="n">
        <v>0.08400000000000001</v>
      </c>
      <c r="G125" s="92" t="n">
        <v>0.0342</v>
      </c>
      <c r="H125" s="92" t="n">
        <v>0.389</v>
      </c>
    </row>
    <row r="126">
      <c r="A126" s="5" t="n">
        <v>2053</v>
      </c>
      <c r="B126" s="91" t="n">
        <v>0.0921</v>
      </c>
      <c r="C126" s="91" t="n">
        <v>0.0545</v>
      </c>
      <c r="D126" s="91" t="n">
        <v>0.0703</v>
      </c>
      <c r="E126" s="91" t="n">
        <v>0.0594</v>
      </c>
      <c r="F126" s="91" t="n">
        <v>0.0905</v>
      </c>
      <c r="G126" s="91" t="n">
        <v>0.0372</v>
      </c>
      <c r="H126" s="91" t="n">
        <v>0.404</v>
      </c>
    </row>
    <row r="127">
      <c r="A127" s="7" t="n">
        <v>2054</v>
      </c>
      <c r="B127" s="92" t="n">
        <v>0.0936</v>
      </c>
      <c r="C127" s="92" t="n">
        <v>0.0543</v>
      </c>
      <c r="D127" s="92" t="n">
        <v>0.07190000000000001</v>
      </c>
      <c r="E127" s="92" t="n">
        <v>0.061</v>
      </c>
      <c r="F127" s="92" t="n">
        <v>0.097</v>
      </c>
      <c r="G127" s="92" t="n">
        <v>0.0402</v>
      </c>
      <c r="H127" s="92" t="n">
        <v>0.418</v>
      </c>
    </row>
    <row r="128">
      <c r="A128" s="5" t="n">
        <v>2055</v>
      </c>
      <c r="B128" s="91" t="n">
        <v>0.095</v>
      </c>
      <c r="C128" s="91" t="n">
        <v>0.054</v>
      </c>
      <c r="D128" s="91" t="n">
        <v>0.07340000000000001</v>
      </c>
      <c r="E128" s="91" t="n">
        <v>0.0626</v>
      </c>
      <c r="F128" s="91" t="n">
        <v>0.1037</v>
      </c>
      <c r="G128" s="91" t="n">
        <v>0.0433</v>
      </c>
      <c r="H128" s="91" t="n">
        <v>0.432</v>
      </c>
    </row>
    <row r="129">
      <c r="A129" s="7" t="n">
        <v>2056</v>
      </c>
      <c r="B129" s="92" t="n">
        <v>0.09660000000000001</v>
      </c>
      <c r="C129" s="92" t="n">
        <v>0.0536</v>
      </c>
      <c r="D129" s="92" t="n">
        <v>0.0751</v>
      </c>
      <c r="E129" s="92" t="n">
        <v>0.0644</v>
      </c>
      <c r="F129" s="92" t="n">
        <v>0.1109</v>
      </c>
      <c r="G129" s="92" t="n">
        <v>0.0464</v>
      </c>
      <c r="H129" s="92" t="n">
        <v>0.447</v>
      </c>
    </row>
    <row r="130">
      <c r="A130" s="5" t="n">
        <v>2057</v>
      </c>
      <c r="B130" s="91" t="n">
        <v>0.0977</v>
      </c>
      <c r="C130" s="91" t="n">
        <v>0.053</v>
      </c>
      <c r="D130" s="91" t="n">
        <v>0.0765</v>
      </c>
      <c r="E130" s="91" t="n">
        <v>0.0659</v>
      </c>
      <c r="F130" s="91" t="n">
        <v>0.118</v>
      </c>
      <c r="G130" s="91" t="n">
        <v>0.0499</v>
      </c>
      <c r="H130" s="91" t="n">
        <v>0.461</v>
      </c>
    </row>
    <row r="131">
      <c r="A131" s="7" t="n">
        <v>2058</v>
      </c>
      <c r="B131" s="92" t="n">
        <v>0.099</v>
      </c>
      <c r="C131" s="92" t="n">
        <v>0.0524</v>
      </c>
      <c r="D131" s="92" t="n">
        <v>0.0781</v>
      </c>
      <c r="E131" s="92" t="n">
        <v>0.06759999999999999</v>
      </c>
      <c r="F131" s="92" t="n">
        <v>0.1257</v>
      </c>
      <c r="G131" s="92" t="n">
        <v>0.0532</v>
      </c>
      <c r="H131" s="92" t="n">
        <v>0.476</v>
      </c>
    </row>
    <row r="132">
      <c r="A132" s="5" t="n">
        <v>2059</v>
      </c>
      <c r="B132" s="91" t="n">
        <v>0.1002</v>
      </c>
      <c r="C132" s="91" t="n">
        <v>0.0516</v>
      </c>
      <c r="D132" s="91" t="n">
        <v>0.0795</v>
      </c>
      <c r="E132" s="91" t="n">
        <v>0.0692</v>
      </c>
      <c r="F132" s="91" t="n">
        <v>0.1336</v>
      </c>
      <c r="G132" s="91" t="n">
        <v>0.0569</v>
      </c>
      <c r="H132" s="91" t="n">
        <v>0.491</v>
      </c>
    </row>
    <row r="133">
      <c r="A133" s="3" t="n">
        <v>2060</v>
      </c>
      <c r="B133" s="90" t="n">
        <v>0.101</v>
      </c>
      <c r="C133" s="90" t="n">
        <v>0.0505</v>
      </c>
      <c r="D133" s="90" t="n">
        <v>0.0808</v>
      </c>
      <c r="E133" s="90" t="n">
        <v>0.0707</v>
      </c>
      <c r="F133" s="90" t="n">
        <v>0.1414</v>
      </c>
      <c r="G133" s="90" t="n">
        <v>0.0606</v>
      </c>
      <c r="H133" s="90" t="n">
        <v>0.505</v>
      </c>
    </row>
    <row r="135">
      <c r="A135" s="65" t="inlineStr">
        <is>
          <t>D. 关键节点说明</t>
        </is>
      </c>
    </row>
    <row r="136">
      <c r="A136" s="39" t="inlineStr">
        <is>
          <t xml:space="preserve">  2024年：碳强度=0.590 tCO2/t，较2024下降0.0%，CO2排放=10.80亿吨 /  2030年：碳强度=0.547 tCO2/t，较2024下降7.3%，CO2排放=7.33亿吨 /  2035年：碳强度=0.496 tCO2/t，较2024下降15.9%，CO2排放=6.40亿吨 /  2040年：碳强度=0.420 tCO2/t，较2024下降28.8%，CO2排放=4.91亿吨 /  2050年：碳强度=0.230 tCO2/t，较2024下降61.0%，CO2排放=1.50亿吨 /  2060年：碳强度=0.085 tCO2/t，较2024下降85.6%，CO2排放=0.47亿吨</t>
        </is>
      </c>
    </row>
    <row r="137"/>
    <row r="138"/>
    <row r="139"/>
    <row r="140"/>
    <row r="141"/>
  </sheetData>
  <mergeCells count="3">
    <mergeCell ref="A136:H141"/>
    <mergeCell ref="A2:H2"/>
    <mergeCell ref="A1:H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141"/>
  <sheetViews>
    <sheetView topLeftCell="A74" zoomScale="74" zoomScaleNormal="74" workbookViewId="0">
      <selection activeCell="H30" sqref="H30"/>
    </sheetView>
  </sheetViews>
  <sheetFormatPr baseColWidth="8" defaultColWidth="9" defaultRowHeight="16.8"/>
  <cols>
    <col width="8" customWidth="1" min="1" max="1"/>
    <col width="14" customWidth="1" min="2" max="2"/>
    <col width="16" customWidth="1" min="3" max="3"/>
    <col width="12" customWidth="1" min="4" max="4"/>
    <col width="10" customWidth="1" min="5" max="5"/>
    <col width="14" customWidth="1" min="6" max="8"/>
    <col width="16" customWidth="1" min="9" max="9"/>
    <col width="14" customWidth="1" min="10" max="14"/>
  </cols>
  <sheetData>
    <row r="1" ht="20.4" customHeight="1">
      <c r="A1" s="46" t="inlineStr">
        <is>
          <t>保守情景（政策承诺） —— 水泥行业减碳基准路径</t>
        </is>
      </c>
    </row>
    <row r="2">
      <c r="A2" s="47" t="inlineStr">
        <is>
          <t>数据来源：CBMA《中国水泥行业碳中和路径研究》(2023) + 政策延续情景再校准（2030/2035关键节点下调）</t>
        </is>
      </c>
    </row>
    <row r="4">
      <c r="A4" s="48" t="inlineStr">
        <is>
          <t>A. 宏观经济参数（北大国发院基准情景，与钢铁模型通用）</t>
        </is>
      </c>
    </row>
    <row r="5" ht="31" customHeight="1">
      <c r="A5" s="49" t="inlineStr">
        <is>
          <t>年份</t>
        </is>
      </c>
      <c r="B5" s="49" t="inlineStr">
        <is>
          <t>GDP增长率(%)</t>
        </is>
      </c>
      <c r="C5" s="49" t="inlineStr">
        <is>
          <t>实际GDP
(2020价万亿)</t>
        </is>
      </c>
      <c r="D5" s="49" t="inlineStr">
        <is>
          <t>人口(亿人)</t>
        </is>
      </c>
      <c r="E5" s="49" t="inlineStr">
        <is>
          <t>城镇化率(%)</t>
        </is>
      </c>
    </row>
    <row r="6">
      <c r="A6" s="3" t="n">
        <v>2024</v>
      </c>
      <c r="B6" s="78" t="n">
        <v>0.049</v>
      </c>
      <c r="C6" s="51" t="n">
        <v>124.92</v>
      </c>
      <c r="D6" s="12" t="n">
        <v>14.08</v>
      </c>
      <c r="E6" s="78" t="n">
        <v>0.663</v>
      </c>
    </row>
    <row r="7">
      <c r="A7" s="5" t="n">
        <v>2025</v>
      </c>
      <c r="B7" s="79" t="n">
        <v>0.045</v>
      </c>
      <c r="C7" s="53" t="n">
        <v>130.54</v>
      </c>
      <c r="D7" s="14" t="n">
        <v>14.08</v>
      </c>
      <c r="E7" s="79" t="n">
        <v>0.67</v>
      </c>
    </row>
    <row r="8">
      <c r="A8" s="7" t="n">
        <v>2026</v>
      </c>
      <c r="B8" s="80" t="n">
        <v>0.043</v>
      </c>
      <c r="C8" s="55" t="n">
        <v>136.15</v>
      </c>
      <c r="D8" s="16" t="n">
        <v>14.06</v>
      </c>
      <c r="E8" s="80" t="n">
        <v>0.677</v>
      </c>
    </row>
    <row r="9">
      <c r="A9" s="5" t="n">
        <v>2027</v>
      </c>
      <c r="B9" s="79" t="n">
        <v>0.041</v>
      </c>
      <c r="C9" s="53" t="n">
        <v>141.72</v>
      </c>
      <c r="D9" s="14" t="n">
        <v>14.04</v>
      </c>
      <c r="E9" s="79" t="n">
        <v>0.6840000000000001</v>
      </c>
    </row>
    <row r="10">
      <c r="A10" s="7" t="n">
        <v>2028</v>
      </c>
      <c r="B10" s="80" t="n">
        <v>0.039</v>
      </c>
      <c r="C10" s="55" t="n">
        <v>147.25</v>
      </c>
      <c r="D10" s="16" t="n">
        <v>14.01</v>
      </c>
      <c r="E10" s="80" t="n">
        <v>0.6899999999999999</v>
      </c>
    </row>
    <row r="11">
      <c r="A11" s="5" t="n">
        <v>2029</v>
      </c>
      <c r="B11" s="79" t="n">
        <v>0.037</v>
      </c>
      <c r="C11" s="53" t="n">
        <v>152.7</v>
      </c>
      <c r="D11" s="14" t="n">
        <v>13.98</v>
      </c>
      <c r="E11" s="79" t="n">
        <v>0.696</v>
      </c>
    </row>
    <row r="12">
      <c r="A12" s="3" t="n">
        <v>2030</v>
      </c>
      <c r="B12" s="78" t="n">
        <v>0.035</v>
      </c>
      <c r="C12" s="51" t="n">
        <v>158.04</v>
      </c>
      <c r="D12" s="12" t="n">
        <v>13.95</v>
      </c>
      <c r="E12" s="78" t="n">
        <v>0.702</v>
      </c>
    </row>
    <row r="13">
      <c r="A13" s="5" t="n">
        <v>2031</v>
      </c>
      <c r="B13" s="79" t="n">
        <v>0.033</v>
      </c>
      <c r="C13" s="53" t="n">
        <v>163.26</v>
      </c>
      <c r="D13" s="14" t="n">
        <v>13.92</v>
      </c>
      <c r="E13" s="79" t="n">
        <v>0.707</v>
      </c>
    </row>
    <row r="14">
      <c r="A14" s="7" t="n">
        <v>2032</v>
      </c>
      <c r="B14" s="80" t="n">
        <v>0.031</v>
      </c>
      <c r="C14" s="55" t="n">
        <v>168.32</v>
      </c>
      <c r="D14" s="16" t="n">
        <v>13.88</v>
      </c>
      <c r="E14" s="80" t="n">
        <v>0.712</v>
      </c>
    </row>
    <row r="15">
      <c r="A15" s="5" t="n">
        <v>2033</v>
      </c>
      <c r="B15" s="79" t="n">
        <v>0.03</v>
      </c>
      <c r="C15" s="53" t="n">
        <v>173.37</v>
      </c>
      <c r="D15" s="14" t="n">
        <v>13.84</v>
      </c>
      <c r="E15" s="79" t="n">
        <v>0.717</v>
      </c>
    </row>
    <row r="16">
      <c r="A16" s="7" t="n">
        <v>2034</v>
      </c>
      <c r="B16" s="80" t="n">
        <v>0.028</v>
      </c>
      <c r="C16" s="55" t="n">
        <v>178.22</v>
      </c>
      <c r="D16" s="16" t="n">
        <v>13.8</v>
      </c>
      <c r="E16" s="80" t="n">
        <v>0.722</v>
      </c>
    </row>
    <row r="17">
      <c r="A17" s="9" t="n">
        <v>2035</v>
      </c>
      <c r="B17" s="81" t="n">
        <v>0.027</v>
      </c>
      <c r="C17" s="57" t="n">
        <v>183.03</v>
      </c>
      <c r="D17" s="18" t="n">
        <v>13.75</v>
      </c>
      <c r="E17" s="81" t="n">
        <v>0.726</v>
      </c>
    </row>
    <row r="18">
      <c r="A18" s="7" t="n">
        <v>2036</v>
      </c>
      <c r="B18" s="80" t="n">
        <v>0.025</v>
      </c>
      <c r="C18" s="55" t="n">
        <v>187.61</v>
      </c>
      <c r="D18" s="16" t="n">
        <v>13.71</v>
      </c>
      <c r="E18" s="80" t="n">
        <v>0.73</v>
      </c>
    </row>
    <row r="19">
      <c r="A19" s="5" t="n">
        <v>2037</v>
      </c>
      <c r="B19" s="79" t="n">
        <v>0.024</v>
      </c>
      <c r="C19" s="53" t="n">
        <v>192.11</v>
      </c>
      <c r="D19" s="14" t="n">
        <v>13.66</v>
      </c>
      <c r="E19" s="79" t="n">
        <v>0.735</v>
      </c>
    </row>
    <row r="20">
      <c r="A20" s="7" t="n">
        <v>2038</v>
      </c>
      <c r="B20" s="80" t="n">
        <v>0.022</v>
      </c>
      <c r="C20" s="55" t="n">
        <v>196.34</v>
      </c>
      <c r="D20" s="16" t="n">
        <v>13.61</v>
      </c>
      <c r="E20" s="80" t="n">
        <v>0.739</v>
      </c>
    </row>
    <row r="21">
      <c r="A21" s="5" t="n">
        <v>2039</v>
      </c>
      <c r="B21" s="79" t="n">
        <v>0.021</v>
      </c>
      <c r="C21" s="53" t="n">
        <v>200.46</v>
      </c>
      <c r="D21" s="14" t="n">
        <v>13.56</v>
      </c>
      <c r="E21" s="79" t="n">
        <v>0.743</v>
      </c>
    </row>
    <row r="22">
      <c r="A22" s="3" t="n">
        <v>2040</v>
      </c>
      <c r="B22" s="78" t="n">
        <v>0.02</v>
      </c>
      <c r="C22" s="51" t="n">
        <v>204.47</v>
      </c>
      <c r="D22" s="12" t="n">
        <v>13.5</v>
      </c>
      <c r="E22" s="78" t="n">
        <v>0.747</v>
      </c>
    </row>
    <row r="23">
      <c r="A23" s="5" t="n">
        <v>2041</v>
      </c>
      <c r="B23" s="79" t="n">
        <v>0.018</v>
      </c>
      <c r="C23" s="53" t="n">
        <v>208.15</v>
      </c>
      <c r="D23" s="14" t="n">
        <v>13.45</v>
      </c>
      <c r="E23" s="79" t="n">
        <v>0.751</v>
      </c>
    </row>
    <row r="24">
      <c r="A24" s="7" t="n">
        <v>2042</v>
      </c>
      <c r="B24" s="80" t="n">
        <v>0.017</v>
      </c>
      <c r="C24" s="55" t="n">
        <v>211.69</v>
      </c>
      <c r="D24" s="16" t="n">
        <v>13.39</v>
      </c>
      <c r="E24" s="80" t="n">
        <v>0.755</v>
      </c>
    </row>
    <row r="25">
      <c r="A25" s="5" t="n">
        <v>2043</v>
      </c>
      <c r="B25" s="79" t="n">
        <v>0.016</v>
      </c>
      <c r="C25" s="53" t="n">
        <v>215.08</v>
      </c>
      <c r="D25" s="14" t="n">
        <v>13.33</v>
      </c>
      <c r="E25" s="79" t="n">
        <v>0.759</v>
      </c>
    </row>
    <row r="26">
      <c r="A26" s="7" t="n">
        <v>2044</v>
      </c>
      <c r="B26" s="80" t="n">
        <v>0.015</v>
      </c>
      <c r="C26" s="55" t="n">
        <v>218.31</v>
      </c>
      <c r="D26" s="16" t="n">
        <v>13.27</v>
      </c>
      <c r="E26" s="80" t="n">
        <v>0.763</v>
      </c>
    </row>
    <row r="27">
      <c r="A27" s="5" t="n">
        <v>2045</v>
      </c>
      <c r="B27" s="79" t="n">
        <v>0.015</v>
      </c>
      <c r="C27" s="53" t="n">
        <v>221.59</v>
      </c>
      <c r="D27" s="14" t="n">
        <v>13.2</v>
      </c>
      <c r="E27" s="79" t="n">
        <v>0.767</v>
      </c>
    </row>
    <row r="28">
      <c r="A28" s="7" t="n">
        <v>2046</v>
      </c>
      <c r="B28" s="80" t="n">
        <v>0.013</v>
      </c>
      <c r="C28" s="55" t="n">
        <v>224.47</v>
      </c>
      <c r="D28" s="16" t="n">
        <v>13.14</v>
      </c>
      <c r="E28" s="80" t="n">
        <v>0.771</v>
      </c>
    </row>
    <row r="29">
      <c r="A29" s="5" t="n">
        <v>2047</v>
      </c>
      <c r="B29" s="79" t="n">
        <v>0.012</v>
      </c>
      <c r="C29" s="53" t="n">
        <v>227.17</v>
      </c>
      <c r="D29" s="14" t="n">
        <v>13.07</v>
      </c>
      <c r="E29" s="79" t="n">
        <v>0.775</v>
      </c>
    </row>
    <row r="30">
      <c r="A30" s="7" t="n">
        <v>2048</v>
      </c>
      <c r="B30" s="80" t="n">
        <v>0.011</v>
      </c>
      <c r="C30" s="55" t="n">
        <v>229.67</v>
      </c>
      <c r="D30" s="16" t="n">
        <v>13</v>
      </c>
      <c r="E30" s="80" t="n">
        <v>0.779</v>
      </c>
    </row>
    <row r="31">
      <c r="A31" s="5" t="n">
        <v>2049</v>
      </c>
      <c r="B31" s="79" t="n">
        <v>0.01</v>
      </c>
      <c r="C31" s="53" t="n">
        <v>231.97</v>
      </c>
      <c r="D31" s="14" t="n">
        <v>12.93</v>
      </c>
      <c r="E31" s="79" t="n">
        <v>0.783</v>
      </c>
    </row>
    <row r="32">
      <c r="A32" s="3" t="n">
        <v>2050</v>
      </c>
      <c r="B32" s="78" t="n">
        <v>0.01</v>
      </c>
      <c r="C32" s="51" t="n">
        <v>234.29</v>
      </c>
      <c r="D32" s="12" t="n">
        <v>12.86</v>
      </c>
      <c r="E32" s="78" t="n">
        <v>0.787</v>
      </c>
    </row>
    <row r="33">
      <c r="A33" s="5" t="n">
        <v>2051</v>
      </c>
      <c r="B33" s="79" t="n">
        <v>0.008</v>
      </c>
      <c r="C33" s="53" t="n">
        <v>236.17</v>
      </c>
      <c r="D33" s="14" t="n">
        <v>12.79</v>
      </c>
      <c r="E33" s="79" t="n">
        <v>0.791</v>
      </c>
    </row>
    <row r="34">
      <c r="A34" s="7" t="n">
        <v>2052</v>
      </c>
      <c r="B34" s="80" t="n">
        <v>0.007</v>
      </c>
      <c r="C34" s="55" t="n">
        <v>237.82</v>
      </c>
      <c r="D34" s="16" t="n">
        <v>12.72</v>
      </c>
      <c r="E34" s="80" t="n">
        <v>0.795</v>
      </c>
    </row>
    <row r="35">
      <c r="A35" s="5" t="n">
        <v>2053</v>
      </c>
      <c r="B35" s="79" t="n">
        <v>0.006</v>
      </c>
      <c r="C35" s="53" t="n">
        <v>239.25</v>
      </c>
      <c r="D35" s="14" t="n">
        <v>12.65</v>
      </c>
      <c r="E35" s="79" t="n">
        <v>0.799</v>
      </c>
    </row>
    <row r="36">
      <c r="A36" s="7" t="n">
        <v>2054</v>
      </c>
      <c r="B36" s="80" t="n">
        <v>0.006</v>
      </c>
      <c r="C36" s="55" t="n">
        <v>240.68</v>
      </c>
      <c r="D36" s="16" t="n">
        <v>12.57</v>
      </c>
      <c r="E36" s="80" t="n">
        <v>0.803</v>
      </c>
    </row>
    <row r="37">
      <c r="A37" s="5" t="n">
        <v>2055</v>
      </c>
      <c r="B37" s="79" t="n">
        <v>0.005</v>
      </c>
      <c r="C37" s="53" t="n">
        <v>241.89</v>
      </c>
      <c r="D37" s="14" t="n">
        <v>12.5</v>
      </c>
      <c r="E37" s="79" t="n">
        <v>0.8070000000000001</v>
      </c>
    </row>
    <row r="38">
      <c r="A38" s="7" t="n">
        <v>2056</v>
      </c>
      <c r="B38" s="80" t="n">
        <v>0.004</v>
      </c>
      <c r="C38" s="55" t="n">
        <v>242.86</v>
      </c>
      <c r="D38" s="16" t="n">
        <v>12.42</v>
      </c>
      <c r="E38" s="80" t="n">
        <v>0.8100000000000001</v>
      </c>
    </row>
    <row r="39">
      <c r="A39" s="5" t="n">
        <v>2057</v>
      </c>
      <c r="B39" s="79" t="n">
        <v>0.004</v>
      </c>
      <c r="C39" s="53" t="n">
        <v>243.83</v>
      </c>
      <c r="D39" s="14" t="n">
        <v>12.34</v>
      </c>
      <c r="E39" s="79" t="n">
        <v>0.8139999999999999</v>
      </c>
    </row>
    <row r="40">
      <c r="A40" s="7" t="n">
        <v>2058</v>
      </c>
      <c r="B40" s="80" t="n">
        <v>0.003</v>
      </c>
      <c r="C40" s="55" t="n">
        <v>244.56</v>
      </c>
      <c r="D40" s="16" t="n">
        <v>12.26</v>
      </c>
      <c r="E40" s="80" t="n">
        <v>0.8179999999999999</v>
      </c>
    </row>
    <row r="41">
      <c r="A41" s="5" t="n">
        <v>2059</v>
      </c>
      <c r="B41" s="79" t="n">
        <v>0.003</v>
      </c>
      <c r="C41" s="53" t="n">
        <v>245.3</v>
      </c>
      <c r="D41" s="14" t="n">
        <v>12.18</v>
      </c>
      <c r="E41" s="79" t="n">
        <v>0.822</v>
      </c>
    </row>
    <row r="42">
      <c r="A42" s="3" t="n">
        <v>2060</v>
      </c>
      <c r="B42" s="78" t="n">
        <v>0.002</v>
      </c>
      <c r="C42" s="51" t="n">
        <v>245.79</v>
      </c>
      <c r="D42" s="12" t="n">
        <v>12.11</v>
      </c>
      <c r="E42" s="78" t="n">
        <v>0.826</v>
      </c>
    </row>
    <row r="44">
      <c r="A44" s="48" t="inlineStr">
        <is>
          <t>B. 水泥行业关键假设</t>
        </is>
      </c>
    </row>
    <row r="45" ht="46" customHeight="1">
      <c r="A45" s="49" t="inlineStr">
        <is>
          <t>年份</t>
        </is>
      </c>
      <c r="B45" s="49" t="inlineStr">
        <is>
          <t>水泥产量
(亿吨)</t>
        </is>
      </c>
      <c r="C45" s="49" t="inlineStr">
        <is>
          <t>CO2排放
(亿吨)</t>
        </is>
      </c>
      <c r="D45" s="49" t="inlineStr">
        <is>
          <t>吨水泥碳强度
(tCO2/t)</t>
        </is>
      </c>
      <c r="E45" s="49" t="inlineStr">
        <is>
          <t>较2024累计
降幅(%)</t>
        </is>
      </c>
    </row>
    <row r="46">
      <c r="A46" s="3" t="n">
        <v>2024</v>
      </c>
      <c r="B46" s="82" t="n">
        <v>18.3</v>
      </c>
      <c r="C46" s="12" t="n">
        <v>10.8</v>
      </c>
      <c r="D46" s="83" t="n">
        <v>0.59</v>
      </c>
      <c r="E46" s="78" t="n">
        <v>0</v>
      </c>
    </row>
    <row r="47">
      <c r="A47" s="5" t="n">
        <v>2025</v>
      </c>
      <c r="B47" s="84" t="n">
        <v>17.6</v>
      </c>
      <c r="C47" s="14" t="n">
        <v>10.33</v>
      </c>
      <c r="D47" s="85" t="n">
        <v>0.587</v>
      </c>
      <c r="E47" s="79" t="n">
        <v>-0.005</v>
      </c>
    </row>
    <row r="48">
      <c r="A48" s="7" t="n">
        <v>2026</v>
      </c>
      <c r="B48" s="86" t="n">
        <v>16.9</v>
      </c>
      <c r="C48" s="16" t="n">
        <v>9.869999999999999</v>
      </c>
      <c r="D48" s="87" t="n">
        <v>0.584</v>
      </c>
      <c r="E48" s="80" t="n">
        <v>-0.01</v>
      </c>
    </row>
    <row r="49">
      <c r="A49" s="5" t="n">
        <v>2027</v>
      </c>
      <c r="B49" s="84" t="n">
        <v>16.2</v>
      </c>
      <c r="C49" s="14" t="n">
        <v>9.41</v>
      </c>
      <c r="D49" s="85" t="n">
        <v>0.581</v>
      </c>
      <c r="E49" s="79" t="n">
        <v>-0.015</v>
      </c>
    </row>
    <row r="50">
      <c r="A50" s="7" t="n">
        <v>2028</v>
      </c>
      <c r="B50" s="86" t="n">
        <v>15.6</v>
      </c>
      <c r="C50" s="16" t="n">
        <v>9</v>
      </c>
      <c r="D50" s="87" t="n">
        <v>0.577</v>
      </c>
      <c r="E50" s="80" t="n">
        <v>-0.022</v>
      </c>
    </row>
    <row r="51">
      <c r="A51" s="5" t="n">
        <v>2029</v>
      </c>
      <c r="B51" s="84" t="n">
        <v>14.9</v>
      </c>
      <c r="C51" s="14" t="n">
        <v>8.550000000000001</v>
      </c>
      <c r="D51" s="85" t="n">
        <v>0.574</v>
      </c>
      <c r="E51" s="79" t="n">
        <v>-0.027</v>
      </c>
    </row>
    <row r="52">
      <c r="A52" s="3" t="n">
        <v>2030</v>
      </c>
      <c r="B52" s="82" t="n">
        <v>14.2</v>
      </c>
      <c r="C52" s="12" t="n">
        <v>8.109999999999999</v>
      </c>
      <c r="D52" s="83" t="n">
        <v>0.571</v>
      </c>
      <c r="E52" s="78" t="n">
        <v>-0.032</v>
      </c>
    </row>
    <row r="53">
      <c r="A53" s="5" t="n">
        <v>2031</v>
      </c>
      <c r="B53" s="84" t="n">
        <v>14.1</v>
      </c>
      <c r="C53" s="14" t="n">
        <v>7.97</v>
      </c>
      <c r="D53" s="85" t="n">
        <v>0.5649999999999999</v>
      </c>
      <c r="E53" s="79" t="n">
        <v>-0.042</v>
      </c>
    </row>
    <row r="54">
      <c r="A54" s="7" t="n">
        <v>2032</v>
      </c>
      <c r="B54" s="86" t="n">
        <v>14</v>
      </c>
      <c r="C54" s="16" t="n">
        <v>7.83</v>
      </c>
      <c r="D54" s="87" t="n">
        <v>0.5590000000000001</v>
      </c>
      <c r="E54" s="80" t="n">
        <v>-0.053</v>
      </c>
    </row>
    <row r="55">
      <c r="A55" s="5" t="n">
        <v>2033</v>
      </c>
      <c r="B55" s="84" t="n">
        <v>14</v>
      </c>
      <c r="C55" s="14" t="n">
        <v>7.73</v>
      </c>
      <c r="D55" s="85" t="n">
        <v>0.552</v>
      </c>
      <c r="E55" s="79" t="n">
        <v>-0.064</v>
      </c>
    </row>
    <row r="56">
      <c r="A56" s="7" t="n">
        <v>2034</v>
      </c>
      <c r="B56" s="86" t="n">
        <v>13.9</v>
      </c>
      <c r="C56" s="16" t="n">
        <v>7.59</v>
      </c>
      <c r="D56" s="87" t="n">
        <v>0.546</v>
      </c>
      <c r="E56" s="80" t="n">
        <v>-0.075</v>
      </c>
    </row>
    <row r="57">
      <c r="A57" s="9" t="n">
        <v>2035</v>
      </c>
      <c r="B57" s="88" t="n">
        <v>13.8</v>
      </c>
      <c r="C57" s="18" t="n">
        <v>7.45</v>
      </c>
      <c r="D57" s="89" t="n">
        <v>0.54</v>
      </c>
      <c r="E57" s="81" t="n">
        <v>-0.08500000000000001</v>
      </c>
    </row>
    <row r="58">
      <c r="A58" s="7" t="n">
        <v>2036</v>
      </c>
      <c r="B58" s="86" t="n">
        <v>13.6</v>
      </c>
      <c r="C58" s="16" t="n">
        <v>7.24</v>
      </c>
      <c r="D58" s="87" t="n">
        <v>0.532</v>
      </c>
      <c r="E58" s="80" t="n">
        <v>-0.098</v>
      </c>
    </row>
    <row r="59">
      <c r="A59" s="5" t="n">
        <v>2037</v>
      </c>
      <c r="B59" s="84" t="n">
        <v>13.4</v>
      </c>
      <c r="C59" s="14" t="n">
        <v>7.02</v>
      </c>
      <c r="D59" s="85" t="n">
        <v>0.524</v>
      </c>
      <c r="E59" s="79" t="n">
        <v>-0.112</v>
      </c>
    </row>
    <row r="60">
      <c r="A60" s="7" t="n">
        <v>2038</v>
      </c>
      <c r="B60" s="86" t="n">
        <v>13.2</v>
      </c>
      <c r="C60" s="16" t="n">
        <v>6.81</v>
      </c>
      <c r="D60" s="87" t="n">
        <v>0.516</v>
      </c>
      <c r="E60" s="80" t="n">
        <v>-0.125</v>
      </c>
    </row>
    <row r="61">
      <c r="A61" s="5" t="n">
        <v>2039</v>
      </c>
      <c r="B61" s="84" t="n">
        <v>13</v>
      </c>
      <c r="C61" s="14" t="n">
        <v>6.6</v>
      </c>
      <c r="D61" s="85" t="n">
        <v>0.508</v>
      </c>
      <c r="E61" s="79" t="n">
        <v>-0.139</v>
      </c>
    </row>
    <row r="62">
      <c r="A62" s="3" t="n">
        <v>2040</v>
      </c>
      <c r="B62" s="82" t="n">
        <v>12.8</v>
      </c>
      <c r="C62" s="12" t="n">
        <v>6.4</v>
      </c>
      <c r="D62" s="83" t="n">
        <v>0.5</v>
      </c>
      <c r="E62" s="78" t="n">
        <v>-0.153</v>
      </c>
    </row>
    <row r="63">
      <c r="A63" s="5" t="n">
        <v>2041</v>
      </c>
      <c r="B63" s="84" t="n">
        <v>12.2</v>
      </c>
      <c r="C63" s="14" t="n">
        <v>5.9</v>
      </c>
      <c r="D63" s="85" t="n">
        <v>0.484</v>
      </c>
      <c r="E63" s="79" t="n">
        <v>-0.18</v>
      </c>
    </row>
    <row r="64">
      <c r="A64" s="7" t="n">
        <v>2042</v>
      </c>
      <c r="B64" s="86" t="n">
        <v>11.7</v>
      </c>
      <c r="C64" s="16" t="n">
        <v>5.48</v>
      </c>
      <c r="D64" s="87" t="n">
        <v>0.468</v>
      </c>
      <c r="E64" s="80" t="n">
        <v>-0.207</v>
      </c>
    </row>
    <row r="65">
      <c r="A65" s="5" t="n">
        <v>2043</v>
      </c>
      <c r="B65" s="84" t="n">
        <v>11.1</v>
      </c>
      <c r="C65" s="14" t="n">
        <v>5.02</v>
      </c>
      <c r="D65" s="85" t="n">
        <v>0.452</v>
      </c>
      <c r="E65" s="79" t="n">
        <v>-0.234</v>
      </c>
    </row>
    <row r="66">
      <c r="A66" s="7" t="n">
        <v>2044</v>
      </c>
      <c r="B66" s="86" t="n">
        <v>10.6</v>
      </c>
      <c r="C66" s="16" t="n">
        <v>4.62</v>
      </c>
      <c r="D66" s="87" t="n">
        <v>0.436</v>
      </c>
      <c r="E66" s="80" t="n">
        <v>-0.261</v>
      </c>
    </row>
    <row r="67">
      <c r="A67" s="5" t="n">
        <v>2045</v>
      </c>
      <c r="B67" s="84" t="n">
        <v>10</v>
      </c>
      <c r="C67" s="14" t="n">
        <v>4.2</v>
      </c>
      <c r="D67" s="85" t="n">
        <v>0.42</v>
      </c>
      <c r="E67" s="79" t="n">
        <v>-0.288</v>
      </c>
    </row>
    <row r="68">
      <c r="A68" s="7" t="n">
        <v>2046</v>
      </c>
      <c r="B68" s="86" t="n">
        <v>9.4</v>
      </c>
      <c r="C68" s="16" t="n">
        <v>3.8</v>
      </c>
      <c r="D68" s="87" t="n">
        <v>0.404</v>
      </c>
      <c r="E68" s="80" t="n">
        <v>-0.315</v>
      </c>
    </row>
    <row r="69">
      <c r="A69" s="5" t="n">
        <v>2047</v>
      </c>
      <c r="B69" s="84" t="n">
        <v>8.9</v>
      </c>
      <c r="C69" s="14" t="n">
        <v>3.45</v>
      </c>
      <c r="D69" s="85" t="n">
        <v>0.388</v>
      </c>
      <c r="E69" s="79" t="n">
        <v>-0.342</v>
      </c>
    </row>
    <row r="70">
      <c r="A70" s="7" t="n">
        <v>2048</v>
      </c>
      <c r="B70" s="86" t="n">
        <v>8.300000000000001</v>
      </c>
      <c r="C70" s="16" t="n">
        <v>3.09</v>
      </c>
      <c r="D70" s="87" t="n">
        <v>0.372</v>
      </c>
      <c r="E70" s="80" t="n">
        <v>-0.369</v>
      </c>
    </row>
    <row r="71">
      <c r="A71" s="5" t="n">
        <v>2049</v>
      </c>
      <c r="B71" s="84" t="n">
        <v>7.8</v>
      </c>
      <c r="C71" s="14" t="n">
        <v>2.78</v>
      </c>
      <c r="D71" s="85" t="n">
        <v>0.356</v>
      </c>
      <c r="E71" s="79" t="n">
        <v>-0.397</v>
      </c>
    </row>
    <row r="72">
      <c r="A72" s="3" t="n">
        <v>2050</v>
      </c>
      <c r="B72" s="82" t="n">
        <v>7.2</v>
      </c>
      <c r="C72" s="12" t="n">
        <v>2.45</v>
      </c>
      <c r="D72" s="83" t="n">
        <v>0.34</v>
      </c>
      <c r="E72" s="78" t="n">
        <v>-0.424</v>
      </c>
    </row>
    <row r="73">
      <c r="A73" s="5" t="n">
        <v>2051</v>
      </c>
      <c r="B73" s="84" t="n">
        <v>7.1</v>
      </c>
      <c r="C73" s="14" t="n">
        <v>2.24</v>
      </c>
      <c r="D73" s="85" t="n">
        <v>0.316</v>
      </c>
      <c r="E73" s="79" t="n">
        <v>-0.464</v>
      </c>
    </row>
    <row r="74">
      <c r="A74" s="7" t="n">
        <v>2052</v>
      </c>
      <c r="B74" s="86" t="n">
        <v>7</v>
      </c>
      <c r="C74" s="16" t="n">
        <v>2.04</v>
      </c>
      <c r="D74" s="87" t="n">
        <v>0.291</v>
      </c>
      <c r="E74" s="80" t="n">
        <v>-0.507</v>
      </c>
    </row>
    <row r="75">
      <c r="A75" s="5" t="n">
        <v>2053</v>
      </c>
      <c r="B75" s="84" t="n">
        <v>6.8</v>
      </c>
      <c r="C75" s="14" t="n">
        <v>1.82</v>
      </c>
      <c r="D75" s="85" t="n">
        <v>0.267</v>
      </c>
      <c r="E75" s="79" t="n">
        <v>-0.547</v>
      </c>
    </row>
    <row r="76">
      <c r="A76" s="7" t="n">
        <v>2054</v>
      </c>
      <c r="B76" s="86" t="n">
        <v>6.7</v>
      </c>
      <c r="C76" s="16" t="n">
        <v>1.62</v>
      </c>
      <c r="D76" s="87" t="n">
        <v>0.242</v>
      </c>
      <c r="E76" s="80" t="n">
        <v>-0.59</v>
      </c>
    </row>
    <row r="77">
      <c r="A77" s="5" t="n">
        <v>2055</v>
      </c>
      <c r="B77" s="84" t="n">
        <v>6.6</v>
      </c>
      <c r="C77" s="14" t="n">
        <v>1.44</v>
      </c>
      <c r="D77" s="85" t="n">
        <v>0.218</v>
      </c>
      <c r="E77" s="79" t="n">
        <v>-0.631</v>
      </c>
    </row>
    <row r="78">
      <c r="A78" s="7" t="n">
        <v>2056</v>
      </c>
      <c r="B78" s="86" t="n">
        <v>6.5</v>
      </c>
      <c r="C78" s="16" t="n">
        <v>1.25</v>
      </c>
      <c r="D78" s="87" t="n">
        <v>0.193</v>
      </c>
      <c r="E78" s="80" t="n">
        <v>-0.673</v>
      </c>
    </row>
    <row r="79">
      <c r="A79" s="5" t="n">
        <v>2057</v>
      </c>
      <c r="B79" s="84" t="n">
        <v>6.4</v>
      </c>
      <c r="C79" s="14" t="n">
        <v>1.08</v>
      </c>
      <c r="D79" s="85" t="n">
        <v>0.169</v>
      </c>
      <c r="E79" s="79" t="n">
        <v>-0.714</v>
      </c>
    </row>
    <row r="80">
      <c r="A80" s="7" t="n">
        <v>2058</v>
      </c>
      <c r="B80" s="86" t="n">
        <v>6.2</v>
      </c>
      <c r="C80" s="16" t="n">
        <v>0.89</v>
      </c>
      <c r="D80" s="87" t="n">
        <v>0.144</v>
      </c>
      <c r="E80" s="80" t="n">
        <v>-0.756</v>
      </c>
    </row>
    <row r="81">
      <c r="A81" s="5" t="n">
        <v>2059</v>
      </c>
      <c r="B81" s="84" t="n">
        <v>6.1</v>
      </c>
      <c r="C81" s="14" t="n">
        <v>0.73</v>
      </c>
      <c r="D81" s="85" t="n">
        <v>0.119</v>
      </c>
      <c r="E81" s="79" t="n">
        <v>-0.798</v>
      </c>
    </row>
    <row r="82">
      <c r="A82" s="3" t="n">
        <v>2060</v>
      </c>
      <c r="B82" s="82" t="n">
        <v>6</v>
      </c>
      <c r="C82" s="12" t="n">
        <v>0.57</v>
      </c>
      <c r="D82" s="83" t="n">
        <v>0.095</v>
      </c>
      <c r="E82" s="78" t="n">
        <v>-0.839</v>
      </c>
    </row>
    <row r="84">
      <c r="A84" s="48" t="inlineStr">
        <is>
          <t>C. 技术路径降碳潜力分解（单位：tCO2/t水泥）</t>
        </is>
      </c>
    </row>
    <row r="85">
      <c r="A85" s="58" t="inlineStr">
        <is>
          <t>各技术路径降碳贡献比例（关键年份）：</t>
        </is>
      </c>
    </row>
    <row r="86" ht="31" customHeight="1">
      <c r="A86" s="59" t="inlineStr">
        <is>
          <t>技术路径</t>
        </is>
      </c>
      <c r="B86" s="59" t="inlineStr">
        <is>
          <t>2024年</t>
        </is>
      </c>
      <c r="C86" s="59" t="inlineStr">
        <is>
          <t>2030年</t>
        </is>
      </c>
      <c r="D86" s="59" t="inlineStr">
        <is>
          <t>2035年</t>
        </is>
      </c>
      <c r="E86" s="59" t="inlineStr">
        <is>
          <t>2040年</t>
        </is>
      </c>
      <c r="F86" s="59" t="inlineStr">
        <is>
          <t>2050年</t>
        </is>
      </c>
      <c r="G86" s="59" t="inlineStr">
        <is>
          <t>2060年</t>
        </is>
      </c>
    </row>
    <row r="87" ht="46" customHeight="1">
      <c r="A87" s="25" t="inlineStr">
        <is>
          <t>产能优化/产量下降</t>
        </is>
      </c>
      <c r="B87" s="25" t="inlineStr">
        <is>
          <t>100%</t>
        </is>
      </c>
      <c r="C87" s="25" t="inlineStr">
        <is>
          <t>45%</t>
        </is>
      </c>
      <c r="D87" s="25" t="inlineStr">
        <is>
          <t>40%</t>
        </is>
      </c>
      <c r="E87" s="25" t="inlineStr">
        <is>
          <t>34%</t>
        </is>
      </c>
      <c r="F87" s="25" t="inlineStr">
        <is>
          <t>28%</t>
        </is>
      </c>
      <c r="G87" s="25" t="inlineStr">
        <is>
          <t>22%</t>
        </is>
      </c>
    </row>
    <row r="88" ht="31" customHeight="1">
      <c r="A88" s="41" t="inlineStr">
        <is>
          <t>极致能效提升</t>
        </is>
      </c>
      <c r="B88" s="41" t="inlineStr">
        <is>
          <t>0%</t>
        </is>
      </c>
      <c r="C88" s="41" t="inlineStr">
        <is>
          <t>25%</t>
        </is>
      </c>
      <c r="D88" s="41" t="inlineStr">
        <is>
          <t>24%</t>
        </is>
      </c>
      <c r="E88" s="41" t="inlineStr">
        <is>
          <t>22%</t>
        </is>
      </c>
      <c r="F88" s="41" t="inlineStr">
        <is>
          <t>18%</t>
        </is>
      </c>
      <c r="G88" s="41" t="inlineStr">
        <is>
          <t>14%</t>
        </is>
      </c>
    </row>
    <row r="89" ht="31" customHeight="1">
      <c r="A89" s="20" t="inlineStr">
        <is>
          <t>替代燃料(TSR)</t>
        </is>
      </c>
      <c r="B89" s="20" t="inlineStr">
        <is>
          <t>0%</t>
        </is>
      </c>
      <c r="C89" s="20" t="inlineStr">
        <is>
          <t>15%</t>
        </is>
      </c>
      <c r="D89" s="20" t="inlineStr">
        <is>
          <t>18%</t>
        </is>
      </c>
      <c r="E89" s="20" t="inlineStr">
        <is>
          <t>18%</t>
        </is>
      </c>
      <c r="F89" s="20" t="inlineStr">
        <is>
          <t>20%</t>
        </is>
      </c>
      <c r="G89" s="20" t="inlineStr">
        <is>
          <t>18%</t>
        </is>
      </c>
    </row>
    <row r="90" ht="46" customHeight="1">
      <c r="A90" s="41" t="inlineStr">
        <is>
          <t>熟料替代/低碳熟料</t>
        </is>
      </c>
      <c r="B90" s="41" t="inlineStr">
        <is>
          <t>0%</t>
        </is>
      </c>
      <c r="C90" s="41" t="inlineStr">
        <is>
          <t>8%</t>
        </is>
      </c>
      <c r="D90" s="41" t="inlineStr">
        <is>
          <t>8%</t>
        </is>
      </c>
      <c r="E90" s="41" t="inlineStr">
        <is>
          <t>10%</t>
        </is>
      </c>
      <c r="F90" s="41" t="inlineStr">
        <is>
          <t>12%</t>
        </is>
      </c>
      <c r="G90" s="41" t="inlineStr">
        <is>
          <t>16%</t>
        </is>
      </c>
    </row>
    <row r="91" ht="31" customHeight="1">
      <c r="A91" s="20" t="inlineStr">
        <is>
          <t>CCUS碳捕集</t>
        </is>
      </c>
      <c r="B91" s="20" t="inlineStr">
        <is>
          <t>0%</t>
        </is>
      </c>
      <c r="C91" s="20" t="inlineStr">
        <is>
          <t>0%</t>
        </is>
      </c>
      <c r="D91" s="20" t="inlineStr">
        <is>
          <t>3%</t>
        </is>
      </c>
      <c r="E91" s="20" t="inlineStr">
        <is>
          <t>8%</t>
        </is>
      </c>
      <c r="F91" s="20" t="inlineStr">
        <is>
          <t>14%</t>
        </is>
      </c>
      <c r="G91" s="20" t="inlineStr">
        <is>
          <t>20%</t>
        </is>
      </c>
    </row>
    <row r="92" ht="46" customHeight="1">
      <c r="A92" s="41" t="inlineStr">
        <is>
          <t>其他(碳汇/绿电等)</t>
        </is>
      </c>
      <c r="B92" s="41" t="inlineStr">
        <is>
          <t>0%</t>
        </is>
      </c>
      <c r="C92" s="41" t="inlineStr">
        <is>
          <t>7%</t>
        </is>
      </c>
      <c r="D92" s="41" t="inlineStr">
        <is>
          <t>7%</t>
        </is>
      </c>
      <c r="E92" s="41" t="inlineStr">
        <is>
          <t>8%</t>
        </is>
      </c>
      <c r="F92" s="41" t="inlineStr">
        <is>
          <t>8%</t>
        </is>
      </c>
      <c r="G92" s="41" t="inlineStr">
        <is>
          <t>10%</t>
        </is>
      </c>
    </row>
    <row r="93">
      <c r="A93" s="25" t="inlineStr">
        <is>
          <t>合计</t>
        </is>
      </c>
      <c r="B93" s="25" t="inlineStr">
        <is>
          <t>100%</t>
        </is>
      </c>
      <c r="C93" s="25" t="inlineStr">
        <is>
          <t>100%</t>
        </is>
      </c>
      <c r="D93" s="25" t="inlineStr">
        <is>
          <t>100%</t>
        </is>
      </c>
      <c r="E93" s="25" t="inlineStr">
        <is>
          <t>100%</t>
        </is>
      </c>
      <c r="F93" s="25" t="inlineStr">
        <is>
          <t>100%</t>
        </is>
      </c>
      <c r="G93" s="25" t="inlineStr">
        <is>
          <t>100%</t>
        </is>
      </c>
    </row>
    <row r="95">
      <c r="A95" s="58" t="inlineStr">
        <is>
          <t>各技术路径绝对降碳量（tCO2/t水泥，逐年）：</t>
        </is>
      </c>
    </row>
    <row r="96" ht="31" customHeight="1">
      <c r="A96" s="49" t="inlineStr">
        <is>
          <t>年份</t>
        </is>
      </c>
      <c r="B96" s="49" t="inlineStr">
        <is>
          <t>产能优化/产量下降</t>
        </is>
      </c>
      <c r="C96" s="49" t="inlineStr">
        <is>
          <t>极致能效提升</t>
        </is>
      </c>
      <c r="D96" s="49" t="inlineStr">
        <is>
          <t>替代燃料(TSR)</t>
        </is>
      </c>
      <c r="E96" s="49" t="inlineStr">
        <is>
          <t>熟料替代/低碳熟料</t>
        </is>
      </c>
      <c r="F96" s="49" t="inlineStr">
        <is>
          <t>CCUS碳捕集</t>
        </is>
      </c>
      <c r="G96" s="49" t="inlineStr">
        <is>
          <t>其他(碳汇/绿电等)</t>
        </is>
      </c>
      <c r="H96" s="49" t="inlineStr">
        <is>
          <t>合计降碳量</t>
        </is>
      </c>
    </row>
    <row r="97">
      <c r="A97" s="3" t="n">
        <v>2024</v>
      </c>
      <c r="B97" s="90" t="n">
        <v>0</v>
      </c>
      <c r="C97" s="90" t="n">
        <v>0</v>
      </c>
      <c r="D97" s="90" t="n">
        <v>0</v>
      </c>
      <c r="E97" s="90" t="n">
        <v>0</v>
      </c>
      <c r="F97" s="90" t="n">
        <v>0</v>
      </c>
      <c r="G97" s="90" t="n">
        <v>0</v>
      </c>
      <c r="H97" s="90" t="n">
        <v>0</v>
      </c>
    </row>
    <row r="98">
      <c r="A98" s="5" t="n">
        <v>2025</v>
      </c>
      <c r="B98" s="91" t="n">
        <v>0.0027</v>
      </c>
      <c r="C98" s="91" t="n">
        <v>0.0001</v>
      </c>
      <c r="D98" s="91" t="n">
        <v>0.0001</v>
      </c>
      <c r="E98" s="91" t="n">
        <v>0</v>
      </c>
      <c r="F98" s="91" t="n">
        <v>0</v>
      </c>
      <c r="G98" s="91" t="n">
        <v>0.0001</v>
      </c>
      <c r="H98" s="91" t="n">
        <v>0.003</v>
      </c>
    </row>
    <row r="99">
      <c r="A99" s="7" t="n">
        <v>2026</v>
      </c>
      <c r="B99" s="92" t="n">
        <v>0.0049</v>
      </c>
      <c r="C99" s="92" t="n">
        <v>0.0005</v>
      </c>
      <c r="D99" s="92" t="n">
        <v>0.0003</v>
      </c>
      <c r="E99" s="92" t="n">
        <v>0.0002</v>
      </c>
      <c r="F99" s="92" t="n">
        <v>0</v>
      </c>
      <c r="G99" s="92" t="n">
        <v>0.0001</v>
      </c>
      <c r="H99" s="92" t="n">
        <v>0.006</v>
      </c>
    </row>
    <row r="100">
      <c r="A100" s="5" t="n">
        <v>2027</v>
      </c>
      <c r="B100" s="91" t="n">
        <v>0.0065</v>
      </c>
      <c r="C100" s="91" t="n">
        <v>0.0011</v>
      </c>
      <c r="D100" s="91" t="n">
        <v>0.0007</v>
      </c>
      <c r="E100" s="91" t="n">
        <v>0.0004</v>
      </c>
      <c r="F100" s="91" t="n">
        <v>0</v>
      </c>
      <c r="G100" s="91" t="n">
        <v>0.0003</v>
      </c>
      <c r="H100" s="91" t="n">
        <v>0.008999999999999999</v>
      </c>
    </row>
    <row r="101">
      <c r="A101" s="7" t="n">
        <v>2028</v>
      </c>
      <c r="B101" s="92" t="n">
        <v>0.008200000000000001</v>
      </c>
      <c r="C101" s="92" t="n">
        <v>0.0022</v>
      </c>
      <c r="D101" s="92" t="n">
        <v>0.0013</v>
      </c>
      <c r="E101" s="92" t="n">
        <v>0.0007</v>
      </c>
      <c r="F101" s="92" t="n">
        <v>0</v>
      </c>
      <c r="G101" s="92" t="n">
        <v>0.0005999999999999999</v>
      </c>
      <c r="H101" s="92" t="n">
        <v>0.013</v>
      </c>
    </row>
    <row r="102">
      <c r="A102" s="5" t="n">
        <v>2029</v>
      </c>
      <c r="B102" s="91" t="n">
        <v>0.008699999999999999</v>
      </c>
      <c r="C102" s="91" t="n">
        <v>0.0033</v>
      </c>
      <c r="D102" s="91" t="n">
        <v>0.002</v>
      </c>
      <c r="E102" s="91" t="n">
        <v>0.0011</v>
      </c>
      <c r="F102" s="91" t="n">
        <v>0</v>
      </c>
      <c r="G102" s="91" t="n">
        <v>0.0009</v>
      </c>
      <c r="H102" s="91" t="n">
        <v>0.016</v>
      </c>
    </row>
    <row r="103">
      <c r="A103" s="3" t="n">
        <v>2030</v>
      </c>
      <c r="B103" s="90" t="n">
        <v>0.0086</v>
      </c>
      <c r="C103" s="90" t="n">
        <v>0.0047</v>
      </c>
      <c r="D103" s="90" t="n">
        <v>0.0028</v>
      </c>
      <c r="E103" s="90" t="n">
        <v>0.0015</v>
      </c>
      <c r="F103" s="90" t="n">
        <v>0</v>
      </c>
      <c r="G103" s="90" t="n">
        <v>0.0014</v>
      </c>
      <c r="H103" s="90" t="n">
        <v>0.019</v>
      </c>
    </row>
    <row r="104">
      <c r="A104" s="5" t="n">
        <v>2031</v>
      </c>
      <c r="B104" s="91" t="n">
        <v>0.011</v>
      </c>
      <c r="C104" s="91" t="n">
        <v>0.0062</v>
      </c>
      <c r="D104" s="91" t="n">
        <v>0.0039</v>
      </c>
      <c r="E104" s="91" t="n">
        <v>0.002</v>
      </c>
      <c r="F104" s="91" t="n">
        <v>0.0001</v>
      </c>
      <c r="G104" s="91" t="n">
        <v>0.0018</v>
      </c>
      <c r="H104" s="91" t="n">
        <v>0.025</v>
      </c>
    </row>
    <row r="105">
      <c r="A105" s="7" t="n">
        <v>2032</v>
      </c>
      <c r="B105" s="92" t="n">
        <v>0.0133</v>
      </c>
      <c r="C105" s="92" t="n">
        <v>0.0076</v>
      </c>
      <c r="D105" s="92" t="n">
        <v>0.005</v>
      </c>
      <c r="E105" s="92" t="n">
        <v>0.0025</v>
      </c>
      <c r="F105" s="92" t="n">
        <v>0.0004</v>
      </c>
      <c r="G105" s="92" t="n">
        <v>0.0022</v>
      </c>
      <c r="H105" s="92" t="n">
        <v>0.031</v>
      </c>
    </row>
    <row r="106">
      <c r="A106" s="5" t="n">
        <v>2033</v>
      </c>
      <c r="B106" s="91" t="n">
        <v>0.016</v>
      </c>
      <c r="C106" s="91" t="n">
        <v>0.009299999999999999</v>
      </c>
      <c r="D106" s="91" t="n">
        <v>0.0064</v>
      </c>
      <c r="E106" s="91" t="n">
        <v>0.003</v>
      </c>
      <c r="F106" s="91" t="n">
        <v>0.0007</v>
      </c>
      <c r="G106" s="91" t="n">
        <v>0.0026</v>
      </c>
      <c r="H106" s="91" t="n">
        <v>0.038</v>
      </c>
    </row>
    <row r="107">
      <c r="A107" s="7" t="n">
        <v>2034</v>
      </c>
      <c r="B107" s="92" t="n">
        <v>0.018</v>
      </c>
      <c r="C107" s="92" t="n">
        <v>0.0106</v>
      </c>
      <c r="D107" s="92" t="n">
        <v>0.0077</v>
      </c>
      <c r="E107" s="92" t="n">
        <v>0.0035</v>
      </c>
      <c r="F107" s="92" t="n">
        <v>0.0011</v>
      </c>
      <c r="G107" s="92" t="n">
        <v>0.0031</v>
      </c>
      <c r="H107" s="92" t="n">
        <v>0.044</v>
      </c>
    </row>
    <row r="108">
      <c r="A108" s="9" t="n">
        <v>2035</v>
      </c>
      <c r="B108" s="93" t="n">
        <v>0.02</v>
      </c>
      <c r="C108" s="93" t="n">
        <v>0.012</v>
      </c>
      <c r="D108" s="93" t="n">
        <v>0.008999999999999999</v>
      </c>
      <c r="E108" s="93" t="n">
        <v>0.004</v>
      </c>
      <c r="F108" s="93" t="n">
        <v>0.0015</v>
      </c>
      <c r="G108" s="93" t="n">
        <v>0.0035</v>
      </c>
      <c r="H108" s="93" t="n">
        <v>0.05</v>
      </c>
    </row>
    <row r="109">
      <c r="A109" s="7" t="n">
        <v>2036</v>
      </c>
      <c r="B109" s="92" t="n">
        <v>0.0225</v>
      </c>
      <c r="C109" s="92" t="n">
        <v>0.0137</v>
      </c>
      <c r="D109" s="92" t="n">
        <v>0.0104</v>
      </c>
      <c r="E109" s="92" t="n">
        <v>0.0049</v>
      </c>
      <c r="F109" s="92" t="n">
        <v>0.0023</v>
      </c>
      <c r="G109" s="92" t="n">
        <v>0.0042</v>
      </c>
      <c r="H109" s="92" t="n">
        <v>0.058</v>
      </c>
    </row>
    <row r="110">
      <c r="A110" s="5" t="n">
        <v>2037</v>
      </c>
      <c r="B110" s="91" t="n">
        <v>0.0248</v>
      </c>
      <c r="C110" s="91" t="n">
        <v>0.0153</v>
      </c>
      <c r="D110" s="91" t="n">
        <v>0.0119</v>
      </c>
      <c r="E110" s="91" t="n">
        <v>0.0058</v>
      </c>
      <c r="F110" s="91" t="n">
        <v>0.0033</v>
      </c>
      <c r="G110" s="91" t="n">
        <v>0.0049</v>
      </c>
      <c r="H110" s="91" t="n">
        <v>0.066</v>
      </c>
    </row>
    <row r="111">
      <c r="A111" s="7" t="n">
        <v>2038</v>
      </c>
      <c r="B111" s="92" t="n">
        <v>0.0269</v>
      </c>
      <c r="C111" s="92" t="n">
        <v>0.0169</v>
      </c>
      <c r="D111" s="92" t="n">
        <v>0.0133</v>
      </c>
      <c r="E111" s="92" t="n">
        <v>0.0068</v>
      </c>
      <c r="F111" s="92" t="n">
        <v>0.0044</v>
      </c>
      <c r="G111" s="92" t="n">
        <v>0.0057</v>
      </c>
      <c r="H111" s="92" t="n">
        <v>0.074</v>
      </c>
    </row>
    <row r="112">
      <c r="A112" s="5" t="n">
        <v>2039</v>
      </c>
      <c r="B112" s="91" t="n">
        <v>0.0289</v>
      </c>
      <c r="C112" s="91" t="n">
        <v>0.0184</v>
      </c>
      <c r="D112" s="91" t="n">
        <v>0.0148</v>
      </c>
      <c r="E112" s="91" t="n">
        <v>0.007900000000000001</v>
      </c>
      <c r="F112" s="91" t="n">
        <v>0.0057</v>
      </c>
      <c r="G112" s="91" t="n">
        <v>0.0063</v>
      </c>
      <c r="H112" s="91" t="n">
        <v>0.082</v>
      </c>
    </row>
    <row r="113">
      <c r="A113" s="3" t="n">
        <v>2040</v>
      </c>
      <c r="B113" s="90" t="n">
        <v>0.0306</v>
      </c>
      <c r="C113" s="90" t="n">
        <v>0.0198</v>
      </c>
      <c r="D113" s="90" t="n">
        <v>0.0162</v>
      </c>
      <c r="E113" s="90" t="n">
        <v>0.008999999999999999</v>
      </c>
      <c r="F113" s="90" t="n">
        <v>0.0072</v>
      </c>
      <c r="G113" s="90" t="n">
        <v>0.0072</v>
      </c>
      <c r="H113" s="90" t="n">
        <v>0.09</v>
      </c>
    </row>
    <row r="114">
      <c r="A114" s="5" t="n">
        <v>2041</v>
      </c>
      <c r="B114" s="91" t="n">
        <v>0.0354</v>
      </c>
      <c r="C114" s="91" t="n">
        <v>0.0229</v>
      </c>
      <c r="D114" s="91" t="n">
        <v>0.0193</v>
      </c>
      <c r="E114" s="91" t="n">
        <v>0.0108</v>
      </c>
      <c r="F114" s="91" t="n">
        <v>0.0091</v>
      </c>
      <c r="G114" s="91" t="n">
        <v>0.008500000000000001</v>
      </c>
      <c r="H114" s="91" t="n">
        <v>0.106</v>
      </c>
    </row>
    <row r="115">
      <c r="A115" s="7" t="n">
        <v>2042</v>
      </c>
      <c r="B115" s="92" t="n">
        <v>0.04</v>
      </c>
      <c r="C115" s="92" t="n">
        <v>0.0259</v>
      </c>
      <c r="D115" s="92" t="n">
        <v>0.0224</v>
      </c>
      <c r="E115" s="92" t="n">
        <v>0.0127</v>
      </c>
      <c r="F115" s="92" t="n">
        <v>0.0112</v>
      </c>
      <c r="G115" s="92" t="n">
        <v>0.0098</v>
      </c>
      <c r="H115" s="92" t="n">
        <v>0.122</v>
      </c>
    </row>
    <row r="116">
      <c r="A116" s="5" t="n">
        <v>2043</v>
      </c>
      <c r="B116" s="91" t="n">
        <v>0.0444</v>
      </c>
      <c r="C116" s="91" t="n">
        <v>0.0287</v>
      </c>
      <c r="D116" s="91" t="n">
        <v>0.0257</v>
      </c>
      <c r="E116" s="91" t="n">
        <v>0.0146</v>
      </c>
      <c r="F116" s="91" t="n">
        <v>0.0135</v>
      </c>
      <c r="G116" s="91" t="n">
        <v>0.0111</v>
      </c>
      <c r="H116" s="91" t="n">
        <v>0.138</v>
      </c>
    </row>
    <row r="117">
      <c r="A117" s="7" t="n">
        <v>2044</v>
      </c>
      <c r="B117" s="92" t="n">
        <v>0.0487</v>
      </c>
      <c r="C117" s="92" t="n">
        <v>0.0314</v>
      </c>
      <c r="D117" s="92" t="n">
        <v>0.029</v>
      </c>
      <c r="E117" s="92" t="n">
        <v>0.0166</v>
      </c>
      <c r="F117" s="92" t="n">
        <v>0.016</v>
      </c>
      <c r="G117" s="92" t="n">
        <v>0.0123</v>
      </c>
      <c r="H117" s="92" t="n">
        <v>0.154</v>
      </c>
    </row>
    <row r="118">
      <c r="A118" s="5" t="n">
        <v>2045</v>
      </c>
      <c r="B118" s="91" t="n">
        <v>0.0527</v>
      </c>
      <c r="C118" s="91" t="n">
        <v>0.034</v>
      </c>
      <c r="D118" s="91" t="n">
        <v>0.0323</v>
      </c>
      <c r="E118" s="91" t="n">
        <v>0.0187</v>
      </c>
      <c r="F118" s="91" t="n">
        <v>0.0187</v>
      </c>
      <c r="G118" s="91" t="n">
        <v>0.0136</v>
      </c>
      <c r="H118" s="91" t="n">
        <v>0.17</v>
      </c>
    </row>
    <row r="119">
      <c r="A119" s="7" t="n">
        <v>2046</v>
      </c>
      <c r="B119" s="92" t="n">
        <v>0.0565</v>
      </c>
      <c r="C119" s="92" t="n">
        <v>0.0365</v>
      </c>
      <c r="D119" s="92" t="n">
        <v>0.0357</v>
      </c>
      <c r="E119" s="92" t="n">
        <v>0.0208</v>
      </c>
      <c r="F119" s="92" t="n">
        <v>0.0216</v>
      </c>
      <c r="G119" s="92" t="n">
        <v>0.0149</v>
      </c>
      <c r="H119" s="92" t="n">
        <v>0.186</v>
      </c>
    </row>
    <row r="120">
      <c r="A120" s="5" t="n">
        <v>2047</v>
      </c>
      <c r="B120" s="91" t="n">
        <v>0.0602</v>
      </c>
      <c r="C120" s="91" t="n">
        <v>0.0388</v>
      </c>
      <c r="D120" s="91" t="n">
        <v>0.0392</v>
      </c>
      <c r="E120" s="91" t="n">
        <v>0.023</v>
      </c>
      <c r="F120" s="91" t="n">
        <v>0.0246</v>
      </c>
      <c r="G120" s="91" t="n">
        <v>0.0162</v>
      </c>
      <c r="H120" s="91" t="n">
        <v>0.202</v>
      </c>
    </row>
    <row r="121">
      <c r="A121" s="7" t="n">
        <v>2048</v>
      </c>
      <c r="B121" s="92" t="n">
        <v>0.06370000000000001</v>
      </c>
      <c r="C121" s="92" t="n">
        <v>0.041</v>
      </c>
      <c r="D121" s="92" t="n">
        <v>0.0427</v>
      </c>
      <c r="E121" s="92" t="n">
        <v>0.0253</v>
      </c>
      <c r="F121" s="92" t="n">
        <v>0.0279</v>
      </c>
      <c r="G121" s="92" t="n">
        <v>0.0174</v>
      </c>
      <c r="H121" s="92" t="n">
        <v>0.218</v>
      </c>
    </row>
    <row r="122">
      <c r="A122" s="5" t="n">
        <v>2049</v>
      </c>
      <c r="B122" s="91" t="n">
        <v>0.0669</v>
      </c>
      <c r="C122" s="91" t="n">
        <v>0.0431</v>
      </c>
      <c r="D122" s="91" t="n">
        <v>0.0463</v>
      </c>
      <c r="E122" s="91" t="n">
        <v>0.0276</v>
      </c>
      <c r="F122" s="91" t="n">
        <v>0.0314</v>
      </c>
      <c r="G122" s="91" t="n">
        <v>0.0187</v>
      </c>
      <c r="H122" s="91" t="n">
        <v>0.234</v>
      </c>
    </row>
    <row r="123">
      <c r="A123" s="3" t="n">
        <v>2050</v>
      </c>
      <c r="B123" s="90" t="n">
        <v>0.07000000000000001</v>
      </c>
      <c r="C123" s="90" t="n">
        <v>0.045</v>
      </c>
      <c r="D123" s="90" t="n">
        <v>0.05</v>
      </c>
      <c r="E123" s="90" t="n">
        <v>0.03</v>
      </c>
      <c r="F123" s="90" t="n">
        <v>0.035</v>
      </c>
      <c r="G123" s="90" t="n">
        <v>0.02</v>
      </c>
      <c r="H123" s="90" t="n">
        <v>0.25</v>
      </c>
    </row>
    <row r="124">
      <c r="A124" s="5" t="n">
        <v>2051</v>
      </c>
      <c r="B124" s="91" t="n">
        <v>0.0751</v>
      </c>
      <c r="C124" s="91" t="n">
        <v>0.0482</v>
      </c>
      <c r="D124" s="91" t="n">
        <v>0.0543</v>
      </c>
      <c r="E124" s="91" t="n">
        <v>0.034</v>
      </c>
      <c r="F124" s="91" t="n">
        <v>0.04</v>
      </c>
      <c r="G124" s="91" t="n">
        <v>0.0224</v>
      </c>
      <c r="H124" s="91" t="n">
        <v>0.274</v>
      </c>
    </row>
    <row r="125">
      <c r="A125" s="7" t="n">
        <v>2052</v>
      </c>
      <c r="B125" s="92" t="n">
        <v>0.0801</v>
      </c>
      <c r="C125" s="92" t="n">
        <v>0.0514</v>
      </c>
      <c r="D125" s="92" t="n">
        <v>0.0586</v>
      </c>
      <c r="E125" s="92" t="n">
        <v>0.0383</v>
      </c>
      <c r="F125" s="92" t="n">
        <v>0.0454</v>
      </c>
      <c r="G125" s="92" t="n">
        <v>0.0252</v>
      </c>
      <c r="H125" s="92" t="n">
        <v>0.299</v>
      </c>
    </row>
    <row r="126">
      <c r="A126" s="5" t="n">
        <v>2053</v>
      </c>
      <c r="B126" s="91" t="n">
        <v>0.08459999999999999</v>
      </c>
      <c r="C126" s="91" t="n">
        <v>0.0543</v>
      </c>
      <c r="D126" s="91" t="n">
        <v>0.06270000000000001</v>
      </c>
      <c r="E126" s="91" t="n">
        <v>0.0426</v>
      </c>
      <c r="F126" s="91" t="n">
        <v>0.051</v>
      </c>
      <c r="G126" s="91" t="n">
        <v>0.0278</v>
      </c>
      <c r="H126" s="91" t="n">
        <v>0.323</v>
      </c>
    </row>
    <row r="127">
      <c r="A127" s="7" t="n">
        <v>2054</v>
      </c>
      <c r="B127" s="92" t="n">
        <v>0.0891</v>
      </c>
      <c r="C127" s="92" t="n">
        <v>0.0571</v>
      </c>
      <c r="D127" s="92" t="n">
        <v>0.0668</v>
      </c>
      <c r="E127" s="92" t="n">
        <v>0.0473</v>
      </c>
      <c r="F127" s="92" t="n">
        <v>0.0571</v>
      </c>
      <c r="G127" s="92" t="n">
        <v>0.0306</v>
      </c>
      <c r="H127" s="92" t="n">
        <v>0.348</v>
      </c>
    </row>
    <row r="128">
      <c r="A128" s="5" t="n">
        <v>2055</v>
      </c>
      <c r="B128" s="91" t="n">
        <v>0.093</v>
      </c>
      <c r="C128" s="91" t="n">
        <v>0.0595</v>
      </c>
      <c r="D128" s="91" t="n">
        <v>0.0707</v>
      </c>
      <c r="E128" s="91" t="n">
        <v>0.0521</v>
      </c>
      <c r="F128" s="91" t="n">
        <v>0.06320000000000001</v>
      </c>
      <c r="G128" s="91" t="n">
        <v>0.0335</v>
      </c>
      <c r="H128" s="91" t="n">
        <v>0.372</v>
      </c>
    </row>
    <row r="129">
      <c r="A129" s="7" t="n">
        <v>2056</v>
      </c>
      <c r="B129" s="92" t="n">
        <v>0.0969</v>
      </c>
      <c r="C129" s="92" t="n">
        <v>0.0619</v>
      </c>
      <c r="D129" s="92" t="n">
        <v>0.0746</v>
      </c>
      <c r="E129" s="92" t="n">
        <v>0.0572</v>
      </c>
      <c r="F129" s="92" t="n">
        <v>0.0699</v>
      </c>
      <c r="G129" s="92" t="n">
        <v>0.0365</v>
      </c>
      <c r="H129" s="92" t="n">
        <v>0.397</v>
      </c>
    </row>
    <row r="130">
      <c r="A130" s="5" t="n">
        <v>2057</v>
      </c>
      <c r="B130" s="91" t="n">
        <v>0.1002</v>
      </c>
      <c r="C130" s="91" t="n">
        <v>0.064</v>
      </c>
      <c r="D130" s="91" t="n">
        <v>0.07829999999999999</v>
      </c>
      <c r="E130" s="91" t="n">
        <v>0.0623</v>
      </c>
      <c r="F130" s="91" t="n">
        <v>0.0766</v>
      </c>
      <c r="G130" s="91" t="n">
        <v>0.0396</v>
      </c>
      <c r="H130" s="91" t="n">
        <v>0.421</v>
      </c>
    </row>
    <row r="131">
      <c r="A131" s="7" t="n">
        <v>2058</v>
      </c>
      <c r="B131" s="92" t="n">
        <v>0.1035</v>
      </c>
      <c r="C131" s="92" t="n">
        <v>0.066</v>
      </c>
      <c r="D131" s="92" t="n">
        <v>0.08210000000000001</v>
      </c>
      <c r="E131" s="92" t="n">
        <v>0.0678</v>
      </c>
      <c r="F131" s="92" t="n">
        <v>0.0838</v>
      </c>
      <c r="G131" s="92" t="n">
        <v>0.0428</v>
      </c>
      <c r="H131" s="92" t="n">
        <v>0.446</v>
      </c>
    </row>
    <row r="132">
      <c r="A132" s="5" t="n">
        <v>2059</v>
      </c>
      <c r="B132" s="91" t="n">
        <v>0.1064</v>
      </c>
      <c r="C132" s="91" t="n">
        <v>0.0678</v>
      </c>
      <c r="D132" s="91" t="n">
        <v>0.0857</v>
      </c>
      <c r="E132" s="91" t="n">
        <v>0.0735</v>
      </c>
      <c r="F132" s="91" t="n">
        <v>0.0914</v>
      </c>
      <c r="G132" s="91" t="n">
        <v>0.0462</v>
      </c>
      <c r="H132" s="91" t="n">
        <v>0.471</v>
      </c>
    </row>
    <row r="133">
      <c r="A133" s="3" t="n">
        <v>2060</v>
      </c>
      <c r="B133" s="90" t="n">
        <v>0.1089</v>
      </c>
      <c r="C133" s="90" t="n">
        <v>0.0693</v>
      </c>
      <c r="D133" s="90" t="n">
        <v>0.0891</v>
      </c>
      <c r="E133" s="90" t="n">
        <v>0.07920000000000001</v>
      </c>
      <c r="F133" s="90" t="n">
        <v>0.099</v>
      </c>
      <c r="G133" s="90" t="n">
        <v>0.0495</v>
      </c>
      <c r="H133" s="90" t="n">
        <v>0.495</v>
      </c>
    </row>
    <row r="135">
      <c r="A135" s="48" t="inlineStr">
        <is>
          <t>D. 关键节点说明</t>
        </is>
      </c>
    </row>
    <row r="136">
      <c r="A136" s="39" t="inlineStr">
        <is>
          <t xml:space="preserve">  2024年：碳强度=0.590 tCO2/t，较2024下降0.0%，CO2排放=10.80亿吨 /  2030年：碳强度=0.571 tCO2/t，较2024下降3.2%，CO2排放=8.11亿吨 /  2035年：碳强度=0.540 tCO2/t，较2024下降8.5%，CO2排放=7.45亿吨 /  2040年：碳强度=0.500 tCO2/t，较2024下降15.3%，CO2排放=6.40亿吨 /  2050年：碳强度=0.340 tCO2/t，较2024下降42.4%，CO2排放=2.45亿吨 /  2060年：碳强度=0.095 tCO2/t，较2024下降83.9%，CO2排放=0.57亿吨</t>
        </is>
      </c>
    </row>
    <row r="137"/>
    <row r="138"/>
    <row r="139"/>
    <row r="140"/>
    <row r="141"/>
  </sheetData>
  <mergeCells count="3">
    <mergeCell ref="A136:H141"/>
    <mergeCell ref="A2:H2"/>
    <mergeCell ref="A1:H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15"/>
  <sheetViews>
    <sheetView tabSelected="1" zoomScale="82" zoomScaleNormal="82" workbookViewId="0">
      <selection activeCell="H6" sqref="H6"/>
    </sheetView>
  </sheetViews>
  <sheetFormatPr baseColWidth="8" defaultColWidth="9" defaultRowHeight="16.8"/>
  <cols>
    <col width="8" customWidth="1" min="1" max="1"/>
    <col width="14" customWidth="1" min="2" max="2"/>
    <col width="12" customWidth="1" min="3" max="3"/>
    <col width="14" customWidth="1" min="4" max="4"/>
    <col width="12" customWidth="1" min="5" max="5"/>
    <col width="14" customWidth="1" min="6" max="6"/>
    <col width="12" customWidth="1" min="7" max="7"/>
    <col width="16" customWidth="1" min="8" max="8"/>
    <col width="14" customWidth="1" min="9" max="10"/>
  </cols>
  <sheetData>
    <row r="1" ht="20.4" customHeight="1">
      <c r="A1" s="1" t="inlineStr">
        <is>
          <t>三种情景碳强度路径综合对比</t>
        </is>
      </c>
    </row>
    <row r="2">
      <c r="A2" s="19" t="inlineStr">
        <is>
          <t>统一基准年2024，基准吨水泥CO2排放强度 = 0.590 tCO2/t</t>
        </is>
      </c>
    </row>
    <row r="4">
      <c r="A4" s="23" t="inlineStr">
        <is>
          <t>A. 碳强度路径对比</t>
        </is>
      </c>
    </row>
    <row r="5" ht="31" customHeight="1">
      <c r="A5" s="2" t="inlineStr">
        <is>
          <t>年份</t>
        </is>
      </c>
      <c r="B5" s="2" t="inlineStr">
        <is>
          <t>保守情景碳强度</t>
        </is>
      </c>
      <c r="C5" s="2" t="inlineStr">
        <is>
          <t>保守累计降幅</t>
        </is>
      </c>
      <c r="D5" s="2" t="inlineStr">
        <is>
          <t>适度情景碳强度</t>
        </is>
      </c>
      <c r="E5" s="2" t="inlineStr">
        <is>
          <t>适度累计降幅</t>
        </is>
      </c>
      <c r="F5" s="2" t="inlineStr">
        <is>
          <t>积极情景碳强度</t>
        </is>
      </c>
      <c r="G5" s="2" t="inlineStr">
        <is>
          <t>积极累计降幅</t>
        </is>
      </c>
      <c r="H5" s="2" t="inlineStr">
        <is>
          <t>适度vs保守
差距</t>
        </is>
      </c>
      <c r="I5" s="2" t="inlineStr">
        <is>
          <t>积极vs适度
差距</t>
        </is>
      </c>
    </row>
    <row r="6">
      <c r="A6" s="41" t="n">
        <v>2024</v>
      </c>
      <c r="B6" s="85" t="n">
        <v>0.59</v>
      </c>
      <c r="C6" s="85" t="n">
        <v>0</v>
      </c>
      <c r="D6" s="85" t="n">
        <v>0.59</v>
      </c>
      <c r="E6" s="85" t="n">
        <v>0</v>
      </c>
      <c r="F6" s="85" t="n">
        <v>0.59</v>
      </c>
      <c r="G6" s="85" t="n">
        <v>0</v>
      </c>
      <c r="H6" s="83" t="n">
        <v>0</v>
      </c>
      <c r="I6" s="83" t="n">
        <v>0</v>
      </c>
    </row>
    <row r="7">
      <c r="A7" s="41" t="n">
        <v>2025</v>
      </c>
      <c r="B7" s="85" t="n">
        <v>0.587</v>
      </c>
      <c r="C7" s="85" t="n">
        <v>-0.005</v>
      </c>
      <c r="D7" s="85" t="n">
        <v>0.583</v>
      </c>
      <c r="E7" s="85" t="n">
        <v>-0.012</v>
      </c>
      <c r="F7" s="85" t="n">
        <v>0.579</v>
      </c>
      <c r="G7" s="85" t="n">
        <v>-0.019</v>
      </c>
      <c r="H7" s="85" t="n">
        <v>-0.004</v>
      </c>
      <c r="I7" s="85" t="n">
        <v>-0.004</v>
      </c>
    </row>
    <row r="8">
      <c r="A8" s="41" t="n">
        <v>2026</v>
      </c>
      <c r="B8" s="85" t="n">
        <v>0.584</v>
      </c>
      <c r="C8" s="85" t="n">
        <v>-0.01</v>
      </c>
      <c r="D8" s="85" t="n">
        <v>0.576</v>
      </c>
      <c r="E8" s="85" t="n">
        <v>-0.024</v>
      </c>
      <c r="F8" s="85" t="n">
        <v>0.5669999999999999</v>
      </c>
      <c r="G8" s="85" t="n">
        <v>-0.039</v>
      </c>
      <c r="H8" s="87" t="n">
        <v>-0.008</v>
      </c>
      <c r="I8" s="87" t="n">
        <v>-0.008999999999999999</v>
      </c>
    </row>
    <row r="9">
      <c r="A9" s="41" t="n">
        <v>2027</v>
      </c>
      <c r="B9" s="85" t="n">
        <v>0.581</v>
      </c>
      <c r="C9" s="85" t="n">
        <v>-0.015</v>
      </c>
      <c r="D9" s="85" t="n">
        <v>0.569</v>
      </c>
      <c r="E9" s="85" t="n">
        <v>-0.036</v>
      </c>
      <c r="F9" s="85" t="n">
        <v>0.555</v>
      </c>
      <c r="G9" s="85" t="n">
        <v>-0.059</v>
      </c>
      <c r="H9" s="85" t="n">
        <v>-0.012</v>
      </c>
      <c r="I9" s="85" t="n">
        <v>-0.014</v>
      </c>
    </row>
    <row r="10">
      <c r="A10" s="41" t="n">
        <v>2028</v>
      </c>
      <c r="B10" s="85" t="n">
        <v>0.577</v>
      </c>
      <c r="C10" s="85" t="n">
        <v>-0.022</v>
      </c>
      <c r="D10" s="85" t="n">
        <v>0.5610000000000001</v>
      </c>
      <c r="E10" s="85" t="n">
        <v>-0.049</v>
      </c>
      <c r="F10" s="85" t="n">
        <v>0.544</v>
      </c>
      <c r="G10" s="85" t="n">
        <v>-0.078</v>
      </c>
      <c r="H10" s="87" t="n">
        <v>-0.016</v>
      </c>
      <c r="I10" s="87" t="n">
        <v>-0.017</v>
      </c>
    </row>
    <row r="11">
      <c r="A11" s="41" t="n">
        <v>2029</v>
      </c>
      <c r="B11" s="85" t="n">
        <v>0.574</v>
      </c>
      <c r="C11" s="85" t="n">
        <v>-0.027</v>
      </c>
      <c r="D11" s="85" t="n">
        <v>0.554</v>
      </c>
      <c r="E11" s="85" t="n">
        <v>-0.061</v>
      </c>
      <c r="F11" s="85" t="n">
        <v>0.532</v>
      </c>
      <c r="G11" s="85" t="n">
        <v>-0.098</v>
      </c>
      <c r="H11" s="85" t="n">
        <v>-0.02</v>
      </c>
      <c r="I11" s="85" t="n">
        <v>-0.022</v>
      </c>
    </row>
    <row r="12">
      <c r="A12" s="41" t="n">
        <v>2030</v>
      </c>
      <c r="B12" s="85" t="n">
        <v>0.571</v>
      </c>
      <c r="C12" s="85" t="n">
        <v>-0.032</v>
      </c>
      <c r="D12" s="85" t="n">
        <v>0.547</v>
      </c>
      <c r="E12" s="85" t="n">
        <v>-0.073</v>
      </c>
      <c r="F12" s="85" t="n">
        <v>0.521</v>
      </c>
      <c r="G12" s="85" t="n">
        <v>-0.117</v>
      </c>
      <c r="H12" s="83" t="n">
        <v>-0.024</v>
      </c>
      <c r="I12" s="83" t="n">
        <v>-0.026</v>
      </c>
    </row>
    <row r="13">
      <c r="A13" s="41" t="n">
        <v>2031</v>
      </c>
      <c r="B13" s="85" t="n">
        <v>0.5649999999999999</v>
      </c>
      <c r="C13" s="85" t="n">
        <v>-0.042</v>
      </c>
      <c r="D13" s="85" t="n">
        <v>0.537</v>
      </c>
      <c r="E13" s="85" t="n">
        <v>-0.09</v>
      </c>
      <c r="F13" s="85" t="n">
        <v>0.508</v>
      </c>
      <c r="G13" s="85" t="n">
        <v>-0.139</v>
      </c>
      <c r="H13" s="85" t="n">
        <v>-0.028</v>
      </c>
      <c r="I13" s="85" t="n">
        <v>-0.029</v>
      </c>
    </row>
    <row r="14">
      <c r="A14" s="41" t="n">
        <v>2032</v>
      </c>
      <c r="B14" s="85" t="n">
        <v>0.5590000000000001</v>
      </c>
      <c r="C14" s="85" t="n">
        <v>-0.053</v>
      </c>
      <c r="D14" s="85" t="n">
        <v>0.527</v>
      </c>
      <c r="E14" s="85" t="n">
        <v>-0.107</v>
      </c>
      <c r="F14" s="85" t="n">
        <v>0.494</v>
      </c>
      <c r="G14" s="85" t="n">
        <v>-0.163</v>
      </c>
      <c r="H14" s="87" t="n">
        <v>-0.032</v>
      </c>
      <c r="I14" s="87" t="n">
        <v>-0.033</v>
      </c>
    </row>
    <row r="15">
      <c r="A15" s="41" t="n">
        <v>2033</v>
      </c>
      <c r="B15" s="85" t="n">
        <v>0.552</v>
      </c>
      <c r="C15" s="85" t="n">
        <v>-0.064</v>
      </c>
      <c r="D15" s="85" t="n">
        <v>0.516</v>
      </c>
      <c r="E15" s="85" t="n">
        <v>-0.125</v>
      </c>
      <c r="F15" s="85" t="n">
        <v>0.481</v>
      </c>
      <c r="G15" s="85" t="n">
        <v>-0.185</v>
      </c>
      <c r="H15" s="85" t="n">
        <v>-0.036</v>
      </c>
      <c r="I15" s="85" t="n">
        <v>-0.035</v>
      </c>
    </row>
    <row r="16">
      <c r="A16" s="41" t="n">
        <v>2034</v>
      </c>
      <c r="B16" s="85" t="n">
        <v>0.546</v>
      </c>
      <c r="C16" s="85" t="n">
        <v>-0.075</v>
      </c>
      <c r="D16" s="85" t="n">
        <v>0.506</v>
      </c>
      <c r="E16" s="85" t="n">
        <v>-0.142</v>
      </c>
      <c r="F16" s="85" t="n">
        <v>0.467</v>
      </c>
      <c r="G16" s="85" t="n">
        <v>-0.208</v>
      </c>
      <c r="H16" s="87" t="n">
        <v>-0.04</v>
      </c>
      <c r="I16" s="87" t="n">
        <v>-0.039</v>
      </c>
    </row>
    <row r="17">
      <c r="A17" s="41" t="n">
        <v>2035</v>
      </c>
      <c r="B17" s="85" t="n">
        <v>0.54</v>
      </c>
      <c r="C17" s="85" t="n">
        <v>-0.08500000000000001</v>
      </c>
      <c r="D17" s="85" t="n">
        <v>0.496</v>
      </c>
      <c r="E17" s="85" t="n">
        <v>-0.159</v>
      </c>
      <c r="F17" s="85" t="n">
        <v>0.454</v>
      </c>
      <c r="G17" s="85" t="n">
        <v>-0.231</v>
      </c>
      <c r="H17" s="89" t="n">
        <v>-0.044</v>
      </c>
      <c r="I17" s="89" t="n">
        <v>-0.042</v>
      </c>
    </row>
    <row r="18">
      <c r="A18" s="41" t="n">
        <v>2036</v>
      </c>
      <c r="B18" s="85" t="n">
        <v>0.532</v>
      </c>
      <c r="C18" s="85" t="n">
        <v>-0.098</v>
      </c>
      <c r="D18" s="85" t="n">
        <v>0.481</v>
      </c>
      <c r="E18" s="85" t="n">
        <v>-0.185</v>
      </c>
      <c r="F18" s="85" t="n">
        <v>0.433</v>
      </c>
      <c r="G18" s="85" t="n">
        <v>-0.266</v>
      </c>
      <c r="H18" s="87" t="n">
        <v>-0.051</v>
      </c>
      <c r="I18" s="87" t="n">
        <v>-0.048</v>
      </c>
    </row>
    <row r="19">
      <c r="A19" s="41" t="n">
        <v>2037</v>
      </c>
      <c r="B19" s="85" t="n">
        <v>0.524</v>
      </c>
      <c r="C19" s="85" t="n">
        <v>-0.112</v>
      </c>
      <c r="D19" s="85" t="n">
        <v>0.466</v>
      </c>
      <c r="E19" s="85" t="n">
        <v>-0.21</v>
      </c>
      <c r="F19" s="85" t="n">
        <v>0.412</v>
      </c>
      <c r="G19" s="85" t="n">
        <v>-0.302</v>
      </c>
      <c r="H19" s="85" t="n">
        <v>-0.058</v>
      </c>
      <c r="I19" s="85" t="n">
        <v>-0.054</v>
      </c>
    </row>
    <row r="20">
      <c r="A20" s="41" t="n">
        <v>2038</v>
      </c>
      <c r="B20" s="85" t="n">
        <v>0.516</v>
      </c>
      <c r="C20" s="85" t="n">
        <v>-0.125</v>
      </c>
      <c r="D20" s="85" t="n">
        <v>0.45</v>
      </c>
      <c r="E20" s="85" t="n">
        <v>-0.237</v>
      </c>
      <c r="F20" s="85" t="n">
        <v>0.392</v>
      </c>
      <c r="G20" s="85" t="n">
        <v>-0.336</v>
      </c>
      <c r="H20" s="87" t="n">
        <v>-0.066</v>
      </c>
      <c r="I20" s="87" t="n">
        <v>-0.058</v>
      </c>
    </row>
    <row r="21">
      <c r="A21" s="41" t="n">
        <v>2039</v>
      </c>
      <c r="B21" s="85" t="n">
        <v>0.508</v>
      </c>
      <c r="C21" s="85" t="n">
        <v>-0.139</v>
      </c>
      <c r="D21" s="85" t="n">
        <v>0.435</v>
      </c>
      <c r="E21" s="85" t="n">
        <v>-0.263</v>
      </c>
      <c r="F21" s="85" t="n">
        <v>0.371</v>
      </c>
      <c r="G21" s="85" t="n">
        <v>-0.371</v>
      </c>
      <c r="H21" s="85" t="n">
        <v>-0.073</v>
      </c>
      <c r="I21" s="85" t="n">
        <v>-0.064</v>
      </c>
    </row>
    <row r="22">
      <c r="A22" s="41" t="n">
        <v>2040</v>
      </c>
      <c r="B22" s="85" t="n">
        <v>0.5</v>
      </c>
      <c r="C22" s="85" t="n">
        <v>-0.153</v>
      </c>
      <c r="D22" s="85" t="n">
        <v>0.42</v>
      </c>
      <c r="E22" s="85" t="n">
        <v>-0.288</v>
      </c>
      <c r="F22" s="85" t="n">
        <v>0.35</v>
      </c>
      <c r="G22" s="85" t="n">
        <v>-0.407</v>
      </c>
      <c r="H22" s="83" t="n">
        <v>-0.08</v>
      </c>
      <c r="I22" s="83" t="n">
        <v>-0.07000000000000001</v>
      </c>
    </row>
    <row r="23">
      <c r="A23" s="41" t="n">
        <v>2041</v>
      </c>
      <c r="B23" s="85" t="n">
        <v>0.484</v>
      </c>
      <c r="C23" s="85" t="n">
        <v>-0.18</v>
      </c>
      <c r="D23" s="85" t="n">
        <v>0.401</v>
      </c>
      <c r="E23" s="85" t="n">
        <v>-0.32</v>
      </c>
      <c r="F23" s="85" t="n">
        <v>0.333</v>
      </c>
      <c r="G23" s="85" t="n">
        <v>-0.436</v>
      </c>
      <c r="H23" s="85" t="n">
        <v>-0.083</v>
      </c>
      <c r="I23" s="85" t="n">
        <v>-0.068</v>
      </c>
    </row>
    <row r="24">
      <c r="A24" s="41" t="n">
        <v>2042</v>
      </c>
      <c r="B24" s="85" t="n">
        <v>0.468</v>
      </c>
      <c r="C24" s="85" t="n">
        <v>-0.207</v>
      </c>
      <c r="D24" s="85" t="n">
        <v>0.382</v>
      </c>
      <c r="E24" s="85" t="n">
        <v>-0.353</v>
      </c>
      <c r="F24" s="85" t="n">
        <v>0.316</v>
      </c>
      <c r="G24" s="85" t="n">
        <v>-0.464</v>
      </c>
      <c r="H24" s="87" t="n">
        <v>-0.08599999999999999</v>
      </c>
      <c r="I24" s="87" t="n">
        <v>-0.066</v>
      </c>
    </row>
    <row r="25">
      <c r="A25" s="41" t="n">
        <v>2043</v>
      </c>
      <c r="B25" s="85" t="n">
        <v>0.452</v>
      </c>
      <c r="C25" s="85" t="n">
        <v>-0.234</v>
      </c>
      <c r="D25" s="85" t="n">
        <v>0.363</v>
      </c>
      <c r="E25" s="85" t="n">
        <v>-0.385</v>
      </c>
      <c r="F25" s="85" t="n">
        <v>0.299</v>
      </c>
      <c r="G25" s="85" t="n">
        <v>-0.493</v>
      </c>
      <c r="H25" s="85" t="n">
        <v>-0.089</v>
      </c>
      <c r="I25" s="85" t="n">
        <v>-0.064</v>
      </c>
    </row>
    <row r="26">
      <c r="A26" s="41" t="n">
        <v>2044</v>
      </c>
      <c r="B26" s="85" t="n">
        <v>0.436</v>
      </c>
      <c r="C26" s="85" t="n">
        <v>-0.261</v>
      </c>
      <c r="D26" s="85" t="n">
        <v>0.344</v>
      </c>
      <c r="E26" s="85" t="n">
        <v>-0.417</v>
      </c>
      <c r="F26" s="85" t="n">
        <v>0.282</v>
      </c>
      <c r="G26" s="85" t="n">
        <v>-0.522</v>
      </c>
      <c r="H26" s="87" t="n">
        <v>-0.092</v>
      </c>
      <c r="I26" s="87" t="n">
        <v>-0.062</v>
      </c>
    </row>
    <row r="27">
      <c r="A27" s="41" t="n">
        <v>2045</v>
      </c>
      <c r="B27" s="85" t="n">
        <v>0.42</v>
      </c>
      <c r="C27" s="85" t="n">
        <v>-0.288</v>
      </c>
      <c r="D27" s="85" t="n">
        <v>0.325</v>
      </c>
      <c r="E27" s="85" t="n">
        <v>-0.449</v>
      </c>
      <c r="F27" s="85" t="n">
        <v>0.265</v>
      </c>
      <c r="G27" s="85" t="n">
        <v>-0.551</v>
      </c>
      <c r="H27" s="85" t="n">
        <v>-0.095</v>
      </c>
      <c r="I27" s="85" t="n">
        <v>-0.06</v>
      </c>
    </row>
    <row r="28">
      <c r="A28" s="41" t="n">
        <v>2046</v>
      </c>
      <c r="B28" s="85" t="n">
        <v>0.404</v>
      </c>
      <c r="C28" s="85" t="n">
        <v>-0.315</v>
      </c>
      <c r="D28" s="85" t="n">
        <v>0.306</v>
      </c>
      <c r="E28" s="85" t="n">
        <v>-0.481</v>
      </c>
      <c r="F28" s="85" t="n">
        <v>0.248</v>
      </c>
      <c r="G28" s="85" t="n">
        <v>-0.58</v>
      </c>
      <c r="H28" s="87" t="n">
        <v>-0.098</v>
      </c>
      <c r="I28" s="87" t="n">
        <v>-0.058</v>
      </c>
    </row>
    <row r="29">
      <c r="A29" s="41" t="n">
        <v>2047</v>
      </c>
      <c r="B29" s="85" t="n">
        <v>0.388</v>
      </c>
      <c r="C29" s="85" t="n">
        <v>-0.342</v>
      </c>
      <c r="D29" s="85" t="n">
        <v>0.287</v>
      </c>
      <c r="E29" s="85" t="n">
        <v>-0.514</v>
      </c>
      <c r="F29" s="85" t="n">
        <v>0.231</v>
      </c>
      <c r="G29" s="85" t="n">
        <v>-0.608</v>
      </c>
      <c r="H29" s="85" t="n">
        <v>-0.101</v>
      </c>
      <c r="I29" s="85" t="n">
        <v>-0.056</v>
      </c>
    </row>
    <row r="30">
      <c r="A30" s="41" t="n">
        <v>2048</v>
      </c>
      <c r="B30" s="85" t="n">
        <v>0.372</v>
      </c>
      <c r="C30" s="85" t="n">
        <v>-0.369</v>
      </c>
      <c r="D30" s="85" t="n">
        <v>0.268</v>
      </c>
      <c r="E30" s="85" t="n">
        <v>-0.546</v>
      </c>
      <c r="F30" s="85" t="n">
        <v>0.214</v>
      </c>
      <c r="G30" s="85" t="n">
        <v>-0.637</v>
      </c>
      <c r="H30" s="87" t="n">
        <v>-0.104</v>
      </c>
      <c r="I30" s="87" t="n">
        <v>-0.054</v>
      </c>
    </row>
    <row r="31">
      <c r="A31" s="41" t="n">
        <v>2049</v>
      </c>
      <c r="B31" s="85" t="n">
        <v>0.356</v>
      </c>
      <c r="C31" s="85" t="n">
        <v>-0.397</v>
      </c>
      <c r="D31" s="85" t="n">
        <v>0.249</v>
      </c>
      <c r="E31" s="85" t="n">
        <v>-0.578</v>
      </c>
      <c r="F31" s="85" t="n">
        <v>0.197</v>
      </c>
      <c r="G31" s="85" t="n">
        <v>-0.666</v>
      </c>
      <c r="H31" s="85" t="n">
        <v>-0.107</v>
      </c>
      <c r="I31" s="85" t="n">
        <v>-0.052</v>
      </c>
    </row>
    <row r="32">
      <c r="A32" s="41" t="n">
        <v>2050</v>
      </c>
      <c r="B32" s="85" t="n">
        <v>0.34</v>
      </c>
      <c r="C32" s="85" t="n">
        <v>-0.424</v>
      </c>
      <c r="D32" s="85" t="n">
        <v>0.23</v>
      </c>
      <c r="E32" s="85" t="n">
        <v>-0.61</v>
      </c>
      <c r="F32" s="85" t="n">
        <v>0.18</v>
      </c>
      <c r="G32" s="85" t="n">
        <v>-0.695</v>
      </c>
      <c r="H32" s="83" t="n">
        <v>-0.11</v>
      </c>
      <c r="I32" s="83" t="n">
        <v>-0.05</v>
      </c>
    </row>
    <row r="33">
      <c r="A33" s="41" t="n">
        <v>2051</v>
      </c>
      <c r="B33" s="85" t="n">
        <v>0.316</v>
      </c>
      <c r="C33" s="85" t="n">
        <v>-0.464</v>
      </c>
      <c r="D33" s="85" t="n">
        <v>0.215</v>
      </c>
      <c r="E33" s="85" t="n">
        <v>-0.636</v>
      </c>
      <c r="F33" s="85" t="n">
        <v>0.167</v>
      </c>
      <c r="G33" s="85" t="n">
        <v>-0.717</v>
      </c>
      <c r="H33" s="85" t="n">
        <v>-0.101</v>
      </c>
      <c r="I33" s="85" t="n">
        <v>-0.048</v>
      </c>
    </row>
    <row r="34">
      <c r="A34" s="41" t="n">
        <v>2052</v>
      </c>
      <c r="B34" s="85" t="n">
        <v>0.291</v>
      </c>
      <c r="C34" s="85" t="n">
        <v>-0.507</v>
      </c>
      <c r="D34" s="85" t="n">
        <v>0.201</v>
      </c>
      <c r="E34" s="85" t="n">
        <v>-0.659</v>
      </c>
      <c r="F34" s="85" t="n">
        <v>0.154</v>
      </c>
      <c r="G34" s="85" t="n">
        <v>-0.739</v>
      </c>
      <c r="H34" s="87" t="n">
        <v>-0.09</v>
      </c>
      <c r="I34" s="87" t="n">
        <v>-0.047</v>
      </c>
    </row>
    <row r="35">
      <c r="A35" s="41" t="n">
        <v>2053</v>
      </c>
      <c r="B35" s="85" t="n">
        <v>0.267</v>
      </c>
      <c r="C35" s="85" t="n">
        <v>-0.547</v>
      </c>
      <c r="D35" s="85" t="n">
        <v>0.186</v>
      </c>
      <c r="E35" s="85" t="n">
        <v>-0.6850000000000001</v>
      </c>
      <c r="F35" s="85" t="n">
        <v>0.141</v>
      </c>
      <c r="G35" s="85" t="n">
        <v>-0.761</v>
      </c>
      <c r="H35" s="85" t="n">
        <v>-0.081</v>
      </c>
      <c r="I35" s="85" t="n">
        <v>-0.045</v>
      </c>
    </row>
    <row r="36">
      <c r="A36" s="41" t="n">
        <v>2054</v>
      </c>
      <c r="B36" s="85" t="n">
        <v>0.242</v>
      </c>
      <c r="C36" s="85" t="n">
        <v>-0.59</v>
      </c>
      <c r="D36" s="85" t="n">
        <v>0.172</v>
      </c>
      <c r="E36" s="85" t="n">
        <v>-0.708</v>
      </c>
      <c r="F36" s="85" t="n">
        <v>0.128</v>
      </c>
      <c r="G36" s="85" t="n">
        <v>-0.783</v>
      </c>
      <c r="H36" s="87" t="n">
        <v>-0.07000000000000001</v>
      </c>
      <c r="I36" s="87" t="n">
        <v>-0.044</v>
      </c>
    </row>
    <row r="37">
      <c r="A37" s="41" t="n">
        <v>2055</v>
      </c>
      <c r="B37" s="85" t="n">
        <v>0.218</v>
      </c>
      <c r="C37" s="85" t="n">
        <v>-0.631</v>
      </c>
      <c r="D37" s="85" t="n">
        <v>0.158</v>
      </c>
      <c r="E37" s="85" t="n">
        <v>-0.732</v>
      </c>
      <c r="F37" s="85" t="n">
        <v>0.115</v>
      </c>
      <c r="G37" s="85" t="n">
        <v>-0.805</v>
      </c>
      <c r="H37" s="85" t="n">
        <v>-0.06</v>
      </c>
      <c r="I37" s="85" t="n">
        <v>-0.043</v>
      </c>
    </row>
    <row r="38">
      <c r="A38" s="41" t="n">
        <v>2056</v>
      </c>
      <c r="B38" s="85" t="n">
        <v>0.193</v>
      </c>
      <c r="C38" s="85" t="n">
        <v>-0.673</v>
      </c>
      <c r="D38" s="85" t="n">
        <v>0.143</v>
      </c>
      <c r="E38" s="85" t="n">
        <v>-0.758</v>
      </c>
      <c r="F38" s="85" t="n">
        <v>0.102</v>
      </c>
      <c r="G38" s="85" t="n">
        <v>-0.827</v>
      </c>
      <c r="H38" s="87" t="n">
        <v>-0.05</v>
      </c>
      <c r="I38" s="87" t="n">
        <v>-0.041</v>
      </c>
    </row>
    <row r="39">
      <c r="A39" s="41" t="n">
        <v>2057</v>
      </c>
      <c r="B39" s="85" t="n">
        <v>0.169</v>
      </c>
      <c r="C39" s="85" t="n">
        <v>-0.714</v>
      </c>
      <c r="D39" s="85" t="n">
        <v>0.129</v>
      </c>
      <c r="E39" s="85" t="n">
        <v>-0.781</v>
      </c>
      <c r="F39" s="85" t="n">
        <v>0.089</v>
      </c>
      <c r="G39" s="85" t="n">
        <v>-0.849</v>
      </c>
      <c r="H39" s="85" t="n">
        <v>-0.04</v>
      </c>
      <c r="I39" s="85" t="n">
        <v>-0.04</v>
      </c>
    </row>
    <row r="40">
      <c r="A40" s="41" t="n">
        <v>2058</v>
      </c>
      <c r="B40" s="85" t="n">
        <v>0.144</v>
      </c>
      <c r="C40" s="85" t="n">
        <v>-0.756</v>
      </c>
      <c r="D40" s="85" t="n">
        <v>0.114</v>
      </c>
      <c r="E40" s="85" t="n">
        <v>-0.8070000000000001</v>
      </c>
      <c r="F40" s="85" t="n">
        <v>0.076</v>
      </c>
      <c r="G40" s="85" t="n">
        <v>-0.871</v>
      </c>
      <c r="H40" s="87" t="n">
        <v>-0.03</v>
      </c>
      <c r="I40" s="87" t="n">
        <v>-0.038</v>
      </c>
    </row>
    <row r="41">
      <c r="A41" s="41" t="n">
        <v>2059</v>
      </c>
      <c r="B41" s="85" t="n">
        <v>0.119</v>
      </c>
      <c r="C41" s="85" t="n">
        <v>-0.798</v>
      </c>
      <c r="D41" s="85" t="n">
        <v>0.099</v>
      </c>
      <c r="E41" s="85" t="n">
        <v>-0.832</v>
      </c>
      <c r="F41" s="85" t="n">
        <v>0.063</v>
      </c>
      <c r="G41" s="85" t="n">
        <v>-0.893</v>
      </c>
      <c r="H41" s="85" t="n">
        <v>-0.02</v>
      </c>
      <c r="I41" s="85" t="n">
        <v>-0.036</v>
      </c>
    </row>
    <row r="42">
      <c r="A42" s="41" t="n">
        <v>2060</v>
      </c>
      <c r="B42" s="85" t="n">
        <v>0.095</v>
      </c>
      <c r="C42" s="85" t="n">
        <v>-0.839</v>
      </c>
      <c r="D42" s="85" t="n">
        <v>0.08500000000000001</v>
      </c>
      <c r="E42" s="85" t="n">
        <v>-0.856</v>
      </c>
      <c r="F42" s="85" t="n">
        <v>0.05</v>
      </c>
      <c r="G42" s="85" t="n">
        <v>-0.915</v>
      </c>
      <c r="H42" s="83" t="n">
        <v>-0.01</v>
      </c>
      <c r="I42" s="83" t="n">
        <v>-0.035</v>
      </c>
    </row>
    <row r="44">
      <c r="A44" s="23" t="inlineStr">
        <is>
          <t>B. 技术路径降碳贡献对比（2060年各技术贡献比例）</t>
        </is>
      </c>
    </row>
    <row r="45" ht="31" customHeight="1">
      <c r="A45" s="2" t="inlineStr">
        <is>
          <t>技术路径</t>
        </is>
      </c>
      <c r="B45" s="2" t="inlineStr">
        <is>
          <t>保守情景
贡献比例</t>
        </is>
      </c>
      <c r="C45" s="2" t="inlineStr">
        <is>
          <t>适度情景
贡献比例</t>
        </is>
      </c>
      <c r="D45" s="2" t="inlineStr">
        <is>
          <t>积极情景
贡献比例</t>
        </is>
      </c>
      <c r="E45" s="2" t="inlineStr">
        <is>
          <t>差异说明</t>
        </is>
      </c>
    </row>
    <row r="46" ht="61" customHeight="1">
      <c r="A46" s="20" t="inlineStr">
        <is>
          <t>产能优化/产量下降</t>
        </is>
      </c>
      <c r="B46" s="20" t="inlineStr">
        <is>
          <t>22%</t>
        </is>
      </c>
      <c r="C46" s="20" t="inlineStr">
        <is>
          <t>20%</t>
        </is>
      </c>
      <c r="D46" s="20" t="inlineStr">
        <is>
          <t>12%</t>
        </is>
      </c>
      <c r="E46" s="20" t="inlineStr">
        <is>
          <t>积极情景产量下降贡献更小(CCUS替代)</t>
        </is>
      </c>
    </row>
    <row r="47" ht="31" customHeight="1">
      <c r="A47" s="41" t="inlineStr">
        <is>
          <t>极致能效提升</t>
        </is>
      </c>
      <c r="B47" s="41" t="inlineStr">
        <is>
          <t>14%</t>
        </is>
      </c>
      <c r="C47" s="41" t="inlineStr">
        <is>
          <t>10%</t>
        </is>
      </c>
      <c r="D47" s="41" t="inlineStr">
        <is>
          <t>8%</t>
        </is>
      </c>
      <c r="E47" s="41" t="inlineStr">
        <is>
          <t>三情景能效贡献相近</t>
        </is>
      </c>
    </row>
    <row r="48" ht="46" customHeight="1">
      <c r="A48" s="20" t="inlineStr">
        <is>
          <t>替代燃料(TSR)</t>
        </is>
      </c>
      <c r="B48" s="20" t="inlineStr">
        <is>
          <t>18%</t>
        </is>
      </c>
      <c r="C48" s="20" t="inlineStr">
        <is>
          <t>16%</t>
        </is>
      </c>
      <c r="D48" s="20" t="inlineStr">
        <is>
          <t>12%</t>
        </is>
      </c>
      <c r="E48" s="20" t="inlineStr">
        <is>
          <t>积极情景替代燃料比例更高</t>
        </is>
      </c>
    </row>
    <row r="49" ht="46" customHeight="1">
      <c r="A49" s="41" t="inlineStr">
        <is>
          <t>熟料替代/低碳熟料</t>
        </is>
      </c>
      <c r="B49" s="41" t="inlineStr">
        <is>
          <t>16%</t>
        </is>
      </c>
      <c r="C49" s="41" t="inlineStr">
        <is>
          <t>14%</t>
        </is>
      </c>
      <c r="D49" s="41" t="inlineStr">
        <is>
          <t>16%</t>
        </is>
      </c>
      <c r="E49" s="41" t="inlineStr">
        <is>
          <t>积极情景低碳熟料贡献更大</t>
        </is>
      </c>
    </row>
    <row r="50" ht="61" customHeight="1">
      <c r="A50" s="20" t="inlineStr">
        <is>
          <t>CCUS碳捕集</t>
        </is>
      </c>
      <c r="B50" s="20" t="inlineStr">
        <is>
          <t>20%</t>
        </is>
      </c>
      <c r="C50" s="20" t="inlineStr">
        <is>
          <t>28%</t>
        </is>
      </c>
      <c r="D50" s="20" t="inlineStr">
        <is>
          <t>42%</t>
        </is>
      </c>
      <c r="E50" s="20" t="inlineStr">
        <is>
          <t>积极情景CCUS贡献远高于其他情景</t>
        </is>
      </c>
    </row>
    <row r="51" ht="46" customHeight="1">
      <c r="A51" s="41" t="inlineStr">
        <is>
          <t>其他(碳汇/绿电等)</t>
        </is>
      </c>
      <c r="B51" s="41" t="inlineStr">
        <is>
          <t>10%</t>
        </is>
      </c>
      <c r="C51" s="41" t="inlineStr">
        <is>
          <t>12%</t>
        </is>
      </c>
      <c r="D51" s="41" t="inlineStr">
        <is>
          <t>10%</t>
        </is>
      </c>
      <c r="E51" s="41" t="inlineStr">
        <is>
          <t>其他路径三情景相近</t>
        </is>
      </c>
    </row>
    <row r="53">
      <c r="A53" s="23" t="inlineStr">
        <is>
          <t>C. 关键年份碳强度对比汇总</t>
        </is>
      </c>
    </row>
    <row r="54">
      <c r="A54" s="2" t="inlineStr">
        <is>
          <t>指标</t>
        </is>
      </c>
      <c r="B54" s="2" t="inlineStr">
        <is>
          <t>2024</t>
        </is>
      </c>
      <c r="C54" s="2" t="inlineStr">
        <is>
          <t>2030</t>
        </is>
      </c>
      <c r="D54" s="2" t="inlineStr">
        <is>
          <t>2035</t>
        </is>
      </c>
      <c r="E54" s="2" t="inlineStr">
        <is>
          <t>2040</t>
        </is>
      </c>
      <c r="F54" s="2" t="inlineStr">
        <is>
          <t>2050</t>
        </is>
      </c>
      <c r="G54" s="2" t="inlineStr">
        <is>
          <t>2060</t>
        </is>
      </c>
    </row>
    <row r="55" ht="46" customHeight="1">
      <c r="A55" s="42" t="inlineStr">
        <is>
          <t>保守情景 碳强度</t>
        </is>
      </c>
      <c r="B55" s="83" t="n">
        <v>0.59</v>
      </c>
      <c r="C55" s="83" t="n">
        <v>0.571</v>
      </c>
      <c r="D55" s="83" t="n">
        <v>0.54</v>
      </c>
      <c r="E55" s="83" t="n">
        <v>0.5</v>
      </c>
      <c r="F55" s="83" t="n">
        <v>0.34</v>
      </c>
      <c r="G55" s="83" t="n">
        <v>0.095</v>
      </c>
    </row>
    <row r="56" ht="46" customHeight="1">
      <c r="A56" s="43" t="inlineStr">
        <is>
          <t>适度情景 碳强度</t>
        </is>
      </c>
      <c r="B56" s="89" t="n">
        <v>0.59</v>
      </c>
      <c r="C56" s="89" t="n">
        <v>0.547</v>
      </c>
      <c r="D56" s="89" t="n">
        <v>0.496</v>
      </c>
      <c r="E56" s="89" t="n">
        <v>0.42</v>
      </c>
      <c r="F56" s="89" t="n">
        <v>0.23</v>
      </c>
      <c r="G56" s="89" t="n">
        <v>0.08500000000000001</v>
      </c>
    </row>
    <row r="57" ht="46" customHeight="1">
      <c r="A57" s="42" t="inlineStr">
        <is>
          <t>积极情景 碳强度</t>
        </is>
      </c>
      <c r="B57" s="83" t="n">
        <v>0.59</v>
      </c>
      <c r="C57" s="83" t="n">
        <v>0.521</v>
      </c>
      <c r="D57" s="83" t="n">
        <v>0.454</v>
      </c>
      <c r="E57" s="83" t="n">
        <v>0.35</v>
      </c>
      <c r="F57" s="83" t="n">
        <v>0.18</v>
      </c>
      <c r="G57" s="83" t="n">
        <v>0.05</v>
      </c>
    </row>
    <row r="58" ht="46" customHeight="1">
      <c r="A58" s="44" t="inlineStr">
        <is>
          <t>适度vs保守 差距</t>
        </is>
      </c>
      <c r="B58" s="85" t="n">
        <v>0</v>
      </c>
      <c r="C58" s="85" t="n">
        <v>-0.024</v>
      </c>
      <c r="D58" s="85" t="n">
        <v>-0.044</v>
      </c>
      <c r="E58" s="85" t="n">
        <v>-0.08</v>
      </c>
      <c r="F58" s="85" t="n">
        <v>-0.11</v>
      </c>
      <c r="G58" s="85" t="n">
        <v>-0.01</v>
      </c>
    </row>
    <row r="59" ht="46" customHeight="1">
      <c r="A59" s="45" t="inlineStr">
        <is>
          <t>积极vs适度 差距</t>
        </is>
      </c>
      <c r="B59" s="87" t="n">
        <v>0</v>
      </c>
      <c r="C59" s="87" t="n">
        <v>-0.026</v>
      </c>
      <c r="D59" s="87" t="n">
        <v>-0.042</v>
      </c>
      <c r="E59" s="87" t="n">
        <v>-0.07000000000000001</v>
      </c>
      <c r="F59" s="87" t="n">
        <v>-0.05</v>
      </c>
      <c r="G59" s="87" t="n">
        <v>-0.035</v>
      </c>
    </row>
    <row r="60" ht="46" customHeight="1">
      <c r="A60" s="44" t="inlineStr">
        <is>
          <t>保守情景 产量(亿吨)</t>
        </is>
      </c>
      <c r="B60" s="84" t="n">
        <v>18.3</v>
      </c>
      <c r="C60" s="84" t="n">
        <v>14.2</v>
      </c>
      <c r="D60" s="84" t="n">
        <v>13.8</v>
      </c>
      <c r="E60" s="84" t="n">
        <v>12.8</v>
      </c>
      <c r="F60" s="84" t="n">
        <v>7.2</v>
      </c>
      <c r="G60" s="84" t="n">
        <v>6</v>
      </c>
    </row>
    <row r="61">
      <c r="A61" s="44" t="inlineStr">
        <is>
          <t>适度情景 产量(亿吨)</t>
        </is>
      </c>
      <c r="B61" s="84" t="n">
        <v>18.3</v>
      </c>
      <c r="C61" s="84" t="n">
        <v>13.4</v>
      </c>
      <c r="D61" s="84" t="n">
        <v>12.9</v>
      </c>
      <c r="E61" s="84" t="n">
        <v>11.7</v>
      </c>
      <c r="F61" s="84" t="n">
        <v>6.5</v>
      </c>
      <c r="G61" s="84" t="n">
        <v>5.5</v>
      </c>
    </row>
    <row r="62">
      <c r="A62" s="44" t="inlineStr">
        <is>
          <t>积极情景 产量(亿吨)</t>
        </is>
      </c>
      <c r="B62" s="84" t="n">
        <v>18.3</v>
      </c>
      <c r="C62" s="84" t="n">
        <v>12.8</v>
      </c>
      <c r="D62" s="84" t="n">
        <v>11.8</v>
      </c>
      <c r="E62" s="84" t="n">
        <v>10.5</v>
      </c>
      <c r="F62" s="84" t="n">
        <v>5.8</v>
      </c>
      <c r="G62" s="84" t="n">
        <v>4.8</v>
      </c>
    </row>
    <row r="77">
      <c r="A77" s="23" t="inlineStr">
        <is>
          <t>D. CO2排放路径对比</t>
        </is>
      </c>
    </row>
    <row r="78" ht="31" customHeight="1">
      <c r="A78" s="2" t="inlineStr">
        <is>
          <t>年份</t>
        </is>
      </c>
      <c r="B78" s="2" t="inlineStr">
        <is>
          <t>保守情景CO2(亿吨)</t>
        </is>
      </c>
      <c r="C78" s="2" t="inlineStr">
        <is>
          <t>适度情景CO2(亿吨)</t>
        </is>
      </c>
      <c r="D78" s="2" t="inlineStr">
        <is>
          <t>积极情景CO2(亿吨)</t>
        </is>
      </c>
    </row>
    <row r="79">
      <c r="A79" s="3" t="n">
        <v>2024</v>
      </c>
      <c r="B79" s="12" t="n">
        <v>10.8</v>
      </c>
      <c r="C79" s="12" t="n">
        <v>10.8</v>
      </c>
      <c r="D79" s="12" t="n">
        <v>10.8</v>
      </c>
    </row>
    <row r="80">
      <c r="A80" s="5" t="n">
        <v>2025</v>
      </c>
      <c r="B80" s="14" t="n">
        <v>10.33</v>
      </c>
      <c r="C80" s="14" t="n">
        <v>10.2</v>
      </c>
      <c r="D80" s="14" t="n">
        <v>10.07</v>
      </c>
    </row>
    <row r="81">
      <c r="A81" s="7" t="n">
        <v>2026</v>
      </c>
      <c r="B81" s="16" t="n">
        <v>9.869999999999999</v>
      </c>
      <c r="C81" s="16" t="n">
        <v>9.619999999999999</v>
      </c>
      <c r="D81" s="16" t="n">
        <v>9.359999999999999</v>
      </c>
    </row>
    <row r="82">
      <c r="A82" s="5" t="n">
        <v>2027</v>
      </c>
      <c r="B82" s="14" t="n">
        <v>9.41</v>
      </c>
      <c r="C82" s="14" t="n">
        <v>9.050000000000001</v>
      </c>
      <c r="D82" s="14" t="n">
        <v>8.66</v>
      </c>
    </row>
    <row r="83">
      <c r="A83" s="7" t="n">
        <v>2028</v>
      </c>
      <c r="B83" s="16" t="n">
        <v>9</v>
      </c>
      <c r="C83" s="16" t="n">
        <v>8.42</v>
      </c>
      <c r="D83" s="16" t="n">
        <v>7.94</v>
      </c>
    </row>
    <row r="84">
      <c r="A84" s="5" t="n">
        <v>2029</v>
      </c>
      <c r="B84" s="14" t="n">
        <v>8.550000000000001</v>
      </c>
      <c r="C84" s="14" t="n">
        <v>7.87</v>
      </c>
      <c r="D84" s="14" t="n">
        <v>7.29</v>
      </c>
    </row>
    <row r="85">
      <c r="A85" s="3" t="n">
        <v>2030</v>
      </c>
      <c r="B85" s="12" t="n">
        <v>8.109999999999999</v>
      </c>
      <c r="C85" s="12" t="n">
        <v>7.33</v>
      </c>
      <c r="D85" s="12" t="n">
        <v>6.67</v>
      </c>
    </row>
    <row r="86">
      <c r="A86" s="5" t="n">
        <v>2031</v>
      </c>
      <c r="B86" s="14" t="n">
        <v>7.97</v>
      </c>
      <c r="C86" s="14" t="n">
        <v>7.14</v>
      </c>
      <c r="D86" s="14" t="n">
        <v>6.4</v>
      </c>
    </row>
    <row r="87">
      <c r="A87" s="7" t="n">
        <v>2032</v>
      </c>
      <c r="B87" s="16" t="n">
        <v>7.83</v>
      </c>
      <c r="C87" s="16" t="n">
        <v>6.96</v>
      </c>
      <c r="D87" s="16" t="n">
        <v>6.13</v>
      </c>
    </row>
    <row r="88">
      <c r="A88" s="5" t="n">
        <v>2033</v>
      </c>
      <c r="B88" s="14" t="n">
        <v>7.73</v>
      </c>
      <c r="C88" s="14" t="n">
        <v>6.76</v>
      </c>
      <c r="D88" s="14" t="n">
        <v>5.87</v>
      </c>
    </row>
    <row r="89">
      <c r="A89" s="7" t="n">
        <v>2034</v>
      </c>
      <c r="B89" s="16" t="n">
        <v>7.59</v>
      </c>
      <c r="C89" s="16" t="n">
        <v>6.58</v>
      </c>
      <c r="D89" s="16" t="n">
        <v>5.6</v>
      </c>
    </row>
    <row r="90">
      <c r="A90" s="9" t="n">
        <v>2035</v>
      </c>
      <c r="B90" s="18" t="n">
        <v>7.45</v>
      </c>
      <c r="C90" s="18" t="n">
        <v>6.4</v>
      </c>
      <c r="D90" s="18" t="n">
        <v>5.36</v>
      </c>
    </row>
    <row r="91">
      <c r="A91" s="7" t="n">
        <v>2036</v>
      </c>
      <c r="B91" s="16" t="n">
        <v>7.24</v>
      </c>
      <c r="C91" s="16" t="n">
        <v>6.11</v>
      </c>
      <c r="D91" s="16" t="n">
        <v>4.98</v>
      </c>
    </row>
    <row r="92">
      <c r="A92" s="5" t="n">
        <v>2037</v>
      </c>
      <c r="B92" s="14" t="n">
        <v>7.02</v>
      </c>
      <c r="C92" s="14" t="n">
        <v>5.78</v>
      </c>
      <c r="D92" s="14" t="n">
        <v>4.66</v>
      </c>
    </row>
    <row r="93">
      <c r="A93" s="7" t="n">
        <v>2038</v>
      </c>
      <c r="B93" s="16" t="n">
        <v>6.81</v>
      </c>
      <c r="C93" s="16" t="n">
        <v>5.49</v>
      </c>
      <c r="D93" s="16" t="n">
        <v>4.31</v>
      </c>
    </row>
    <row r="94">
      <c r="A94" s="5" t="n">
        <v>2039</v>
      </c>
      <c r="B94" s="14" t="n">
        <v>6.6</v>
      </c>
      <c r="C94" s="14" t="n">
        <v>5.18</v>
      </c>
      <c r="D94" s="14" t="n">
        <v>4.01</v>
      </c>
    </row>
    <row r="95">
      <c r="A95" s="3" t="n">
        <v>2040</v>
      </c>
      <c r="B95" s="12" t="n">
        <v>6.4</v>
      </c>
      <c r="C95" s="12" t="n">
        <v>4.91</v>
      </c>
      <c r="D95" s="12" t="n">
        <v>3.67</v>
      </c>
    </row>
    <row r="96">
      <c r="A96" s="5" t="n">
        <v>2041</v>
      </c>
      <c r="B96" s="14" t="n">
        <v>5.9</v>
      </c>
      <c r="C96" s="14" t="n">
        <v>4.49</v>
      </c>
      <c r="D96" s="14" t="n">
        <v>3.33</v>
      </c>
    </row>
    <row r="97">
      <c r="A97" s="7" t="n">
        <v>2042</v>
      </c>
      <c r="B97" s="16" t="n">
        <v>5.48</v>
      </c>
      <c r="C97" s="16" t="n">
        <v>4.09</v>
      </c>
      <c r="D97" s="16" t="n">
        <v>3.03</v>
      </c>
    </row>
    <row r="98">
      <c r="A98" s="5" t="n">
        <v>2043</v>
      </c>
      <c r="B98" s="14" t="n">
        <v>5.02</v>
      </c>
      <c r="C98" s="14" t="n">
        <v>3.67</v>
      </c>
      <c r="D98" s="14" t="n">
        <v>2.72</v>
      </c>
    </row>
    <row r="99">
      <c r="A99" s="7" t="n">
        <v>2044</v>
      </c>
      <c r="B99" s="16" t="n">
        <v>4.62</v>
      </c>
      <c r="C99" s="16" t="n">
        <v>3.3</v>
      </c>
      <c r="D99" s="16" t="n">
        <v>2.43</v>
      </c>
    </row>
    <row r="100">
      <c r="A100" s="5" t="n">
        <v>2045</v>
      </c>
      <c r="B100" s="14" t="n">
        <v>4.2</v>
      </c>
      <c r="C100" s="14" t="n">
        <v>2.96</v>
      </c>
      <c r="D100" s="14" t="n">
        <v>2.17</v>
      </c>
    </row>
    <row r="101">
      <c r="A101" s="7" t="n">
        <v>2046</v>
      </c>
      <c r="B101" s="16" t="n">
        <v>3.8</v>
      </c>
      <c r="C101" s="16" t="n">
        <v>2.63</v>
      </c>
      <c r="D101" s="16" t="n">
        <v>1.91</v>
      </c>
    </row>
    <row r="102">
      <c r="A102" s="5" t="n">
        <v>2047</v>
      </c>
      <c r="B102" s="14" t="n">
        <v>3.45</v>
      </c>
      <c r="C102" s="14" t="n">
        <v>2.32</v>
      </c>
      <c r="D102" s="14" t="n">
        <v>1.66</v>
      </c>
    </row>
    <row r="103">
      <c r="A103" s="7" t="n">
        <v>2048</v>
      </c>
      <c r="B103" s="16" t="n">
        <v>3.09</v>
      </c>
      <c r="C103" s="16" t="n">
        <v>2.01</v>
      </c>
      <c r="D103" s="16" t="n">
        <v>1.43</v>
      </c>
    </row>
    <row r="104">
      <c r="A104" s="5" t="n">
        <v>2049</v>
      </c>
      <c r="B104" s="14" t="n">
        <v>2.78</v>
      </c>
      <c r="C104" s="14" t="n">
        <v>1.74</v>
      </c>
      <c r="D104" s="14" t="n">
        <v>1.24</v>
      </c>
    </row>
    <row r="105">
      <c r="A105" s="3" t="n">
        <v>2050</v>
      </c>
      <c r="B105" s="12" t="n">
        <v>2.45</v>
      </c>
      <c r="C105" s="12" t="n">
        <v>1.5</v>
      </c>
      <c r="D105" s="12" t="n">
        <v>1.04</v>
      </c>
    </row>
    <row r="106">
      <c r="A106" s="5" t="n">
        <v>2051</v>
      </c>
      <c r="B106" s="14" t="n">
        <v>2.24</v>
      </c>
      <c r="C106" s="14" t="n">
        <v>1.38</v>
      </c>
      <c r="D106" s="14" t="n">
        <v>0.95</v>
      </c>
    </row>
    <row r="107">
      <c r="A107" s="7" t="n">
        <v>2052</v>
      </c>
      <c r="B107" s="16" t="n">
        <v>2.04</v>
      </c>
      <c r="C107" s="16" t="n">
        <v>1.27</v>
      </c>
      <c r="D107" s="16" t="n">
        <v>0.86</v>
      </c>
    </row>
    <row r="108">
      <c r="A108" s="5" t="n">
        <v>2053</v>
      </c>
      <c r="B108" s="14" t="n">
        <v>1.82</v>
      </c>
      <c r="C108" s="14" t="n">
        <v>1.15</v>
      </c>
      <c r="D108" s="14" t="n">
        <v>0.78</v>
      </c>
    </row>
    <row r="109">
      <c r="A109" s="7" t="n">
        <v>2054</v>
      </c>
      <c r="B109" s="16" t="n">
        <v>1.62</v>
      </c>
      <c r="C109" s="16" t="n">
        <v>1.05</v>
      </c>
      <c r="D109" s="16" t="n">
        <v>0.6899999999999999</v>
      </c>
    </row>
    <row r="110">
      <c r="A110" s="5" t="n">
        <v>2055</v>
      </c>
      <c r="B110" s="14" t="n">
        <v>1.44</v>
      </c>
      <c r="C110" s="14" t="n">
        <v>0.95</v>
      </c>
      <c r="D110" s="14" t="n">
        <v>0.61</v>
      </c>
    </row>
    <row r="111">
      <c r="A111" s="7" t="n">
        <v>2056</v>
      </c>
      <c r="B111" s="16" t="n">
        <v>1.25</v>
      </c>
      <c r="C111" s="16" t="n">
        <v>0.84</v>
      </c>
      <c r="D111" s="16" t="n">
        <v>0.53</v>
      </c>
    </row>
    <row r="112">
      <c r="A112" s="5" t="n">
        <v>2057</v>
      </c>
      <c r="B112" s="14" t="n">
        <v>1.08</v>
      </c>
      <c r="C112" s="14" t="n">
        <v>0.75</v>
      </c>
      <c r="D112" s="14" t="n">
        <v>0.45</v>
      </c>
    </row>
    <row r="113">
      <c r="A113" s="7" t="n">
        <v>2058</v>
      </c>
      <c r="B113" s="16" t="n">
        <v>0.89</v>
      </c>
      <c r="C113" s="16" t="n">
        <v>0.65</v>
      </c>
      <c r="D113" s="16" t="n">
        <v>0.38</v>
      </c>
    </row>
    <row r="114">
      <c r="A114" s="5" t="n">
        <v>2059</v>
      </c>
      <c r="B114" s="14" t="n">
        <v>0.73</v>
      </c>
      <c r="C114" s="14" t="n">
        <v>0.55</v>
      </c>
      <c r="D114" s="14" t="n">
        <v>0.31</v>
      </c>
    </row>
    <row r="115">
      <c r="A115" s="3" t="n">
        <v>2060</v>
      </c>
      <c r="B115" s="12" t="n">
        <v>0.57</v>
      </c>
      <c r="C115" s="12" t="n">
        <v>0.47</v>
      </c>
      <c r="D115" s="12" t="n">
        <v>0.24</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J94"/>
  <sheetViews>
    <sheetView workbookViewId="0">
      <selection activeCell="A1" sqref="A1"/>
    </sheetView>
  </sheetViews>
  <sheetFormatPr baseColWidth="8" defaultColWidth="9" defaultRowHeight="16.8"/>
  <cols>
    <col width="8" customWidth="1" min="1" max="1"/>
    <col width="14" customWidth="1" min="2" max="8"/>
    <col width="16" customWidth="1" min="9" max="9"/>
  </cols>
  <sheetData>
    <row r="1" ht="20.4" customHeight="1">
      <c r="A1" s="1" t="inlineStr">
        <is>
          <t>金融机构目标设置（行业估算版）</t>
        </is>
      </c>
    </row>
    <row r="2">
      <c r="A2" s="19" t="inlineStr">
        <is>
          <t>输入行业融资组合参数 → 自动计算碳强度并对比三情景基准（产量列采用适度情景参考路径）</t>
        </is>
      </c>
    </row>
    <row r="4">
      <c r="A4" s="23" t="inlineStr">
        <is>
          <t>A. 输入参数（黄色底色单元格为可修改项）</t>
        </is>
      </c>
    </row>
    <row r="5">
      <c r="A5" s="24" t="inlineStr">
        <is>
          <t>基准年</t>
        </is>
      </c>
      <c r="B5" s="33" t="n"/>
      <c r="C5" s="34" t="n"/>
      <c r="D5" s="35" t="n">
        <v>2024</v>
      </c>
    </row>
    <row r="6">
      <c r="A6" s="24" t="inlineStr">
        <is>
          <t>基准年行业碳强度(tCO2/t)</t>
        </is>
      </c>
      <c r="B6" s="33" t="n"/>
      <c r="C6" s="34" t="n"/>
      <c r="D6" s="94" t="n">
        <v>0.59</v>
      </c>
    </row>
    <row r="7">
      <c r="A7" s="24" t="inlineStr">
        <is>
          <t>基准年融资余额(亿元)</t>
        </is>
      </c>
      <c r="B7" s="33" t="n"/>
      <c r="C7" s="34" t="n"/>
      <c r="D7" s="35" t="n">
        <v>5000</v>
      </c>
    </row>
    <row r="8">
      <c r="A8" s="24" t="inlineStr">
        <is>
          <t>水泥行业融资占全行比(%)</t>
        </is>
      </c>
      <c r="B8" s="33" t="n"/>
      <c r="C8" s="34" t="n"/>
      <c r="D8" s="94" t="n">
        <v>0.03</v>
      </c>
    </row>
    <row r="9">
      <c r="A9" s="24" t="inlineStr">
        <is>
          <t>行业产量2024(亿吨)</t>
        </is>
      </c>
      <c r="B9" s="33" t="n"/>
      <c r="C9" s="34" t="n"/>
      <c r="D9" s="37" t="n">
        <v>18.3</v>
      </c>
    </row>
    <row r="11">
      <c r="A11" s="23" t="inlineStr">
        <is>
          <t>B. 行业碳强度基准（三情景）</t>
        </is>
      </c>
    </row>
    <row r="12" ht="31" customHeight="1">
      <c r="A12" s="2" t="inlineStr">
        <is>
          <t>年份</t>
        </is>
      </c>
      <c r="B12" s="2" t="inlineStr">
        <is>
          <t>产量(亿吨,适度参考)</t>
        </is>
      </c>
      <c r="C12" s="2" t="inlineStr">
        <is>
          <t>保守情景
碳强度</t>
        </is>
      </c>
      <c r="D12" s="2" t="inlineStr">
        <is>
          <t>保守
CO2排放</t>
        </is>
      </c>
      <c r="E12" s="2" t="inlineStr">
        <is>
          <t>适度情景
碳强度</t>
        </is>
      </c>
      <c r="F12" s="2" t="inlineStr">
        <is>
          <t>适度
CO2排放</t>
        </is>
      </c>
      <c r="G12" s="2" t="inlineStr">
        <is>
          <t>积极情景
碳强度</t>
        </is>
      </c>
      <c r="H12" s="2" t="inlineStr">
        <is>
          <t>积极
CO2排放</t>
        </is>
      </c>
    </row>
    <row r="13">
      <c r="A13" s="3" t="n">
        <v>2024</v>
      </c>
      <c r="B13" s="82" t="n">
        <v>18.3</v>
      </c>
      <c r="C13" s="83" t="n">
        <v>0.59</v>
      </c>
      <c r="D13" s="12" t="n">
        <v>10.8</v>
      </c>
      <c r="E13" s="83" t="n">
        <v>0.59</v>
      </c>
      <c r="F13" s="12" t="n">
        <v>10.8</v>
      </c>
      <c r="G13" s="83" t="n">
        <v>0.59</v>
      </c>
      <c r="H13" s="12" t="n">
        <v>10.8</v>
      </c>
    </row>
    <row r="14">
      <c r="A14" s="5" t="n">
        <v>2025</v>
      </c>
      <c r="B14" s="84" t="n">
        <v>17.5</v>
      </c>
      <c r="C14" s="85" t="n">
        <v>0.587</v>
      </c>
      <c r="D14" s="14" t="n">
        <v>10.33</v>
      </c>
      <c r="E14" s="85" t="n">
        <v>0.583</v>
      </c>
      <c r="F14" s="14" t="n">
        <v>10.2</v>
      </c>
      <c r="G14" s="85" t="n">
        <v>0.579</v>
      </c>
      <c r="H14" s="14" t="n">
        <v>10.07</v>
      </c>
    </row>
    <row r="15">
      <c r="A15" s="7" t="n">
        <v>2026</v>
      </c>
      <c r="B15" s="86" t="n">
        <v>16.7</v>
      </c>
      <c r="C15" s="87" t="n">
        <v>0.584</v>
      </c>
      <c r="D15" s="16" t="n">
        <v>9.869999999999999</v>
      </c>
      <c r="E15" s="87" t="n">
        <v>0.576</v>
      </c>
      <c r="F15" s="16" t="n">
        <v>9.619999999999999</v>
      </c>
      <c r="G15" s="87" t="n">
        <v>0.5669999999999999</v>
      </c>
      <c r="H15" s="16" t="n">
        <v>9.359999999999999</v>
      </c>
    </row>
    <row r="16">
      <c r="A16" s="5" t="n">
        <v>2027</v>
      </c>
      <c r="B16" s="84" t="n">
        <v>15.9</v>
      </c>
      <c r="C16" s="85" t="n">
        <v>0.581</v>
      </c>
      <c r="D16" s="14" t="n">
        <v>9.41</v>
      </c>
      <c r="E16" s="85" t="n">
        <v>0.569</v>
      </c>
      <c r="F16" s="14" t="n">
        <v>9.050000000000001</v>
      </c>
      <c r="G16" s="85" t="n">
        <v>0.555</v>
      </c>
      <c r="H16" s="14" t="n">
        <v>8.66</v>
      </c>
    </row>
    <row r="17">
      <c r="A17" s="7" t="n">
        <v>2028</v>
      </c>
      <c r="B17" s="86" t="n">
        <v>15</v>
      </c>
      <c r="C17" s="87" t="n">
        <v>0.577</v>
      </c>
      <c r="D17" s="16" t="n">
        <v>9</v>
      </c>
      <c r="E17" s="87" t="n">
        <v>0.5610000000000001</v>
      </c>
      <c r="F17" s="16" t="n">
        <v>8.42</v>
      </c>
      <c r="G17" s="87" t="n">
        <v>0.544</v>
      </c>
      <c r="H17" s="16" t="n">
        <v>7.94</v>
      </c>
    </row>
    <row r="18">
      <c r="A18" s="5" t="n">
        <v>2029</v>
      </c>
      <c r="B18" s="84" t="n">
        <v>14.2</v>
      </c>
      <c r="C18" s="85" t="n">
        <v>0.574</v>
      </c>
      <c r="D18" s="14" t="n">
        <v>8.550000000000001</v>
      </c>
      <c r="E18" s="85" t="n">
        <v>0.554</v>
      </c>
      <c r="F18" s="14" t="n">
        <v>7.87</v>
      </c>
      <c r="G18" s="85" t="n">
        <v>0.532</v>
      </c>
      <c r="H18" s="14" t="n">
        <v>7.29</v>
      </c>
    </row>
    <row r="19">
      <c r="A19" s="3" t="n">
        <v>2030</v>
      </c>
      <c r="B19" s="82" t="n">
        <v>13.4</v>
      </c>
      <c r="C19" s="83" t="n">
        <v>0.571</v>
      </c>
      <c r="D19" s="12" t="n">
        <v>8.109999999999999</v>
      </c>
      <c r="E19" s="83" t="n">
        <v>0.547</v>
      </c>
      <c r="F19" s="12" t="n">
        <v>7.33</v>
      </c>
      <c r="G19" s="83" t="n">
        <v>0.521</v>
      </c>
      <c r="H19" s="12" t="n">
        <v>6.67</v>
      </c>
    </row>
    <row r="20">
      <c r="A20" s="5" t="n">
        <v>2031</v>
      </c>
      <c r="B20" s="84" t="n">
        <v>13.3</v>
      </c>
      <c r="C20" s="85" t="n">
        <v>0.5649999999999999</v>
      </c>
      <c r="D20" s="14" t="n">
        <v>7.97</v>
      </c>
      <c r="E20" s="85" t="n">
        <v>0.537</v>
      </c>
      <c r="F20" s="14" t="n">
        <v>7.14</v>
      </c>
      <c r="G20" s="85" t="n">
        <v>0.508</v>
      </c>
      <c r="H20" s="14" t="n">
        <v>6.4</v>
      </c>
    </row>
    <row r="21">
      <c r="A21" s="7" t="n">
        <v>2032</v>
      </c>
      <c r="B21" s="86" t="n">
        <v>13.2</v>
      </c>
      <c r="C21" s="87" t="n">
        <v>0.5590000000000001</v>
      </c>
      <c r="D21" s="16" t="n">
        <v>7.83</v>
      </c>
      <c r="E21" s="87" t="n">
        <v>0.527</v>
      </c>
      <c r="F21" s="16" t="n">
        <v>6.96</v>
      </c>
      <c r="G21" s="87" t="n">
        <v>0.494</v>
      </c>
      <c r="H21" s="16" t="n">
        <v>6.13</v>
      </c>
    </row>
    <row r="22">
      <c r="A22" s="5" t="n">
        <v>2033</v>
      </c>
      <c r="B22" s="84" t="n">
        <v>13.1</v>
      </c>
      <c r="C22" s="85" t="n">
        <v>0.552</v>
      </c>
      <c r="D22" s="14" t="n">
        <v>7.73</v>
      </c>
      <c r="E22" s="85" t="n">
        <v>0.516</v>
      </c>
      <c r="F22" s="14" t="n">
        <v>6.76</v>
      </c>
      <c r="G22" s="85" t="n">
        <v>0.481</v>
      </c>
      <c r="H22" s="14" t="n">
        <v>5.87</v>
      </c>
    </row>
    <row r="23">
      <c r="A23" s="7" t="n">
        <v>2034</v>
      </c>
      <c r="B23" s="86" t="n">
        <v>13</v>
      </c>
      <c r="C23" s="87" t="n">
        <v>0.546</v>
      </c>
      <c r="D23" s="16" t="n">
        <v>7.59</v>
      </c>
      <c r="E23" s="87" t="n">
        <v>0.506</v>
      </c>
      <c r="F23" s="16" t="n">
        <v>6.58</v>
      </c>
      <c r="G23" s="87" t="n">
        <v>0.467</v>
      </c>
      <c r="H23" s="16" t="n">
        <v>5.6</v>
      </c>
    </row>
    <row r="24">
      <c r="A24" s="9" t="n">
        <v>2035</v>
      </c>
      <c r="B24" s="88" t="n">
        <v>12.9</v>
      </c>
      <c r="C24" s="89" t="n">
        <v>0.54</v>
      </c>
      <c r="D24" s="18" t="n">
        <v>7.45</v>
      </c>
      <c r="E24" s="89" t="n">
        <v>0.496</v>
      </c>
      <c r="F24" s="18" t="n">
        <v>6.4</v>
      </c>
      <c r="G24" s="89" t="n">
        <v>0.454</v>
      </c>
      <c r="H24" s="18" t="n">
        <v>5.36</v>
      </c>
    </row>
    <row r="25">
      <c r="A25" s="7" t="n">
        <v>2036</v>
      </c>
      <c r="B25" s="86" t="n">
        <v>12.7</v>
      </c>
      <c r="C25" s="87" t="n">
        <v>0.532</v>
      </c>
      <c r="D25" s="16" t="n">
        <v>7.24</v>
      </c>
      <c r="E25" s="87" t="n">
        <v>0.481</v>
      </c>
      <c r="F25" s="16" t="n">
        <v>6.11</v>
      </c>
      <c r="G25" s="87" t="n">
        <v>0.433</v>
      </c>
      <c r="H25" s="16" t="n">
        <v>4.98</v>
      </c>
    </row>
    <row r="26">
      <c r="A26" s="5" t="n">
        <v>2037</v>
      </c>
      <c r="B26" s="84" t="n">
        <v>12.4</v>
      </c>
      <c r="C26" s="85" t="n">
        <v>0.524</v>
      </c>
      <c r="D26" s="14" t="n">
        <v>7.02</v>
      </c>
      <c r="E26" s="85" t="n">
        <v>0.466</v>
      </c>
      <c r="F26" s="14" t="n">
        <v>5.78</v>
      </c>
      <c r="G26" s="85" t="n">
        <v>0.412</v>
      </c>
      <c r="H26" s="14" t="n">
        <v>4.66</v>
      </c>
    </row>
    <row r="27">
      <c r="A27" s="7" t="n">
        <v>2038</v>
      </c>
      <c r="B27" s="86" t="n">
        <v>12.2</v>
      </c>
      <c r="C27" s="87" t="n">
        <v>0.516</v>
      </c>
      <c r="D27" s="16" t="n">
        <v>6.81</v>
      </c>
      <c r="E27" s="87" t="n">
        <v>0.45</v>
      </c>
      <c r="F27" s="16" t="n">
        <v>5.49</v>
      </c>
      <c r="G27" s="87" t="n">
        <v>0.392</v>
      </c>
      <c r="H27" s="16" t="n">
        <v>4.31</v>
      </c>
    </row>
    <row r="28">
      <c r="A28" s="5" t="n">
        <v>2039</v>
      </c>
      <c r="B28" s="84" t="n">
        <v>11.9</v>
      </c>
      <c r="C28" s="85" t="n">
        <v>0.508</v>
      </c>
      <c r="D28" s="14" t="n">
        <v>6.6</v>
      </c>
      <c r="E28" s="85" t="n">
        <v>0.435</v>
      </c>
      <c r="F28" s="14" t="n">
        <v>5.18</v>
      </c>
      <c r="G28" s="85" t="n">
        <v>0.371</v>
      </c>
      <c r="H28" s="14" t="n">
        <v>4.01</v>
      </c>
    </row>
    <row r="29">
      <c r="A29" s="3" t="n">
        <v>2040</v>
      </c>
      <c r="B29" s="82" t="n">
        <v>11.7</v>
      </c>
      <c r="C29" s="83" t="n">
        <v>0.5</v>
      </c>
      <c r="D29" s="12" t="n">
        <v>6.4</v>
      </c>
      <c r="E29" s="83" t="n">
        <v>0.42</v>
      </c>
      <c r="F29" s="12" t="n">
        <v>4.91</v>
      </c>
      <c r="G29" s="83" t="n">
        <v>0.35</v>
      </c>
      <c r="H29" s="12" t="n">
        <v>3.67</v>
      </c>
    </row>
    <row r="30">
      <c r="A30" s="5" t="n">
        <v>2041</v>
      </c>
      <c r="B30" s="84" t="n">
        <v>11.2</v>
      </c>
      <c r="C30" s="85" t="n">
        <v>0.484</v>
      </c>
      <c r="D30" s="14" t="n">
        <v>5.9</v>
      </c>
      <c r="E30" s="85" t="n">
        <v>0.401</v>
      </c>
      <c r="F30" s="14" t="n">
        <v>4.49</v>
      </c>
      <c r="G30" s="85" t="n">
        <v>0.333</v>
      </c>
      <c r="H30" s="14" t="n">
        <v>3.33</v>
      </c>
    </row>
    <row r="31">
      <c r="A31" s="7" t="n">
        <v>2042</v>
      </c>
      <c r="B31" s="86" t="n">
        <v>10.7</v>
      </c>
      <c r="C31" s="87" t="n">
        <v>0.468</v>
      </c>
      <c r="D31" s="16" t="n">
        <v>5.48</v>
      </c>
      <c r="E31" s="87" t="n">
        <v>0.382</v>
      </c>
      <c r="F31" s="16" t="n">
        <v>4.09</v>
      </c>
      <c r="G31" s="87" t="n">
        <v>0.316</v>
      </c>
      <c r="H31" s="16" t="n">
        <v>3.03</v>
      </c>
    </row>
    <row r="32">
      <c r="A32" s="5" t="n">
        <v>2043</v>
      </c>
      <c r="B32" s="84" t="n">
        <v>10.1</v>
      </c>
      <c r="C32" s="85" t="n">
        <v>0.452</v>
      </c>
      <c r="D32" s="14" t="n">
        <v>5.02</v>
      </c>
      <c r="E32" s="85" t="n">
        <v>0.363</v>
      </c>
      <c r="F32" s="14" t="n">
        <v>3.67</v>
      </c>
      <c r="G32" s="85" t="n">
        <v>0.299</v>
      </c>
      <c r="H32" s="14" t="n">
        <v>2.72</v>
      </c>
    </row>
    <row r="33">
      <c r="A33" s="7" t="n">
        <v>2044</v>
      </c>
      <c r="B33" s="86" t="n">
        <v>9.6</v>
      </c>
      <c r="C33" s="87" t="n">
        <v>0.436</v>
      </c>
      <c r="D33" s="16" t="n">
        <v>4.62</v>
      </c>
      <c r="E33" s="87" t="n">
        <v>0.344</v>
      </c>
      <c r="F33" s="16" t="n">
        <v>3.3</v>
      </c>
      <c r="G33" s="87" t="n">
        <v>0.282</v>
      </c>
      <c r="H33" s="16" t="n">
        <v>2.43</v>
      </c>
    </row>
    <row r="34">
      <c r="A34" s="5" t="n">
        <v>2045</v>
      </c>
      <c r="B34" s="84" t="n">
        <v>9.1</v>
      </c>
      <c r="C34" s="85" t="n">
        <v>0.42</v>
      </c>
      <c r="D34" s="14" t="n">
        <v>4.2</v>
      </c>
      <c r="E34" s="85" t="n">
        <v>0.325</v>
      </c>
      <c r="F34" s="14" t="n">
        <v>2.96</v>
      </c>
      <c r="G34" s="85" t="n">
        <v>0.265</v>
      </c>
      <c r="H34" s="14" t="n">
        <v>2.17</v>
      </c>
    </row>
    <row r="35">
      <c r="A35" s="7" t="n">
        <v>2046</v>
      </c>
      <c r="B35" s="86" t="n">
        <v>8.6</v>
      </c>
      <c r="C35" s="87" t="n">
        <v>0.404</v>
      </c>
      <c r="D35" s="16" t="n">
        <v>3.8</v>
      </c>
      <c r="E35" s="87" t="n">
        <v>0.306</v>
      </c>
      <c r="F35" s="16" t="n">
        <v>2.63</v>
      </c>
      <c r="G35" s="87" t="n">
        <v>0.248</v>
      </c>
      <c r="H35" s="16" t="n">
        <v>1.91</v>
      </c>
    </row>
    <row r="36">
      <c r="A36" s="5" t="n">
        <v>2047</v>
      </c>
      <c r="B36" s="84" t="n">
        <v>8.1</v>
      </c>
      <c r="C36" s="85" t="n">
        <v>0.388</v>
      </c>
      <c r="D36" s="14" t="n">
        <v>3.45</v>
      </c>
      <c r="E36" s="85" t="n">
        <v>0.287</v>
      </c>
      <c r="F36" s="14" t="n">
        <v>2.32</v>
      </c>
      <c r="G36" s="85" t="n">
        <v>0.231</v>
      </c>
      <c r="H36" s="14" t="n">
        <v>1.66</v>
      </c>
    </row>
    <row r="37">
      <c r="A37" s="7" t="n">
        <v>2048</v>
      </c>
      <c r="B37" s="86" t="n">
        <v>7.5</v>
      </c>
      <c r="C37" s="87" t="n">
        <v>0.372</v>
      </c>
      <c r="D37" s="16" t="n">
        <v>3.09</v>
      </c>
      <c r="E37" s="87" t="n">
        <v>0.268</v>
      </c>
      <c r="F37" s="16" t="n">
        <v>2.01</v>
      </c>
      <c r="G37" s="87" t="n">
        <v>0.214</v>
      </c>
      <c r="H37" s="16" t="n">
        <v>1.43</v>
      </c>
    </row>
    <row r="38">
      <c r="A38" s="5" t="n">
        <v>2049</v>
      </c>
      <c r="B38" s="84" t="n">
        <v>7</v>
      </c>
      <c r="C38" s="85" t="n">
        <v>0.356</v>
      </c>
      <c r="D38" s="14" t="n">
        <v>2.78</v>
      </c>
      <c r="E38" s="85" t="n">
        <v>0.249</v>
      </c>
      <c r="F38" s="14" t="n">
        <v>1.74</v>
      </c>
      <c r="G38" s="85" t="n">
        <v>0.197</v>
      </c>
      <c r="H38" s="14" t="n">
        <v>1.24</v>
      </c>
    </row>
    <row r="39">
      <c r="A39" s="3" t="n">
        <v>2050</v>
      </c>
      <c r="B39" s="82" t="n">
        <v>6.5</v>
      </c>
      <c r="C39" s="83" t="n">
        <v>0.34</v>
      </c>
      <c r="D39" s="12" t="n">
        <v>2.45</v>
      </c>
      <c r="E39" s="83" t="n">
        <v>0.23</v>
      </c>
      <c r="F39" s="12" t="n">
        <v>1.5</v>
      </c>
      <c r="G39" s="83" t="n">
        <v>0.18</v>
      </c>
      <c r="H39" s="12" t="n">
        <v>1.04</v>
      </c>
    </row>
    <row r="40">
      <c r="A40" s="5" t="n">
        <v>2051</v>
      </c>
      <c r="B40" s="84" t="n">
        <v>6.4</v>
      </c>
      <c r="C40" s="85" t="n">
        <v>0.316</v>
      </c>
      <c r="D40" s="14" t="n">
        <v>2.24</v>
      </c>
      <c r="E40" s="85" t="n">
        <v>0.215</v>
      </c>
      <c r="F40" s="14" t="n">
        <v>1.38</v>
      </c>
      <c r="G40" s="85" t="n">
        <v>0.167</v>
      </c>
      <c r="H40" s="14" t="n">
        <v>0.95</v>
      </c>
    </row>
    <row r="41">
      <c r="A41" s="7" t="n">
        <v>2052</v>
      </c>
      <c r="B41" s="86" t="n">
        <v>6.3</v>
      </c>
      <c r="C41" s="87" t="n">
        <v>0.291</v>
      </c>
      <c r="D41" s="16" t="n">
        <v>2.04</v>
      </c>
      <c r="E41" s="87" t="n">
        <v>0.201</v>
      </c>
      <c r="F41" s="16" t="n">
        <v>1.27</v>
      </c>
      <c r="G41" s="87" t="n">
        <v>0.154</v>
      </c>
      <c r="H41" s="16" t="n">
        <v>0.86</v>
      </c>
    </row>
    <row r="42">
      <c r="A42" s="5" t="n">
        <v>2053</v>
      </c>
      <c r="B42" s="84" t="n">
        <v>6.2</v>
      </c>
      <c r="C42" s="85" t="n">
        <v>0.267</v>
      </c>
      <c r="D42" s="14" t="n">
        <v>1.82</v>
      </c>
      <c r="E42" s="85" t="n">
        <v>0.186</v>
      </c>
      <c r="F42" s="14" t="n">
        <v>1.15</v>
      </c>
      <c r="G42" s="85" t="n">
        <v>0.141</v>
      </c>
      <c r="H42" s="14" t="n">
        <v>0.78</v>
      </c>
    </row>
    <row r="43">
      <c r="A43" s="7" t="n">
        <v>2054</v>
      </c>
      <c r="B43" s="86" t="n">
        <v>6.1</v>
      </c>
      <c r="C43" s="87" t="n">
        <v>0.242</v>
      </c>
      <c r="D43" s="16" t="n">
        <v>1.62</v>
      </c>
      <c r="E43" s="87" t="n">
        <v>0.172</v>
      </c>
      <c r="F43" s="16" t="n">
        <v>1.05</v>
      </c>
      <c r="G43" s="87" t="n">
        <v>0.128</v>
      </c>
      <c r="H43" s="16" t="n">
        <v>0.6899999999999999</v>
      </c>
    </row>
    <row r="44">
      <c r="A44" s="5" t="n">
        <v>2055</v>
      </c>
      <c r="B44" s="84" t="n">
        <v>6</v>
      </c>
      <c r="C44" s="85" t="n">
        <v>0.218</v>
      </c>
      <c r="D44" s="14" t="n">
        <v>1.44</v>
      </c>
      <c r="E44" s="85" t="n">
        <v>0.158</v>
      </c>
      <c r="F44" s="14" t="n">
        <v>0.95</v>
      </c>
      <c r="G44" s="85" t="n">
        <v>0.115</v>
      </c>
      <c r="H44" s="14" t="n">
        <v>0.61</v>
      </c>
    </row>
    <row r="45">
      <c r="A45" s="7" t="n">
        <v>2056</v>
      </c>
      <c r="B45" s="86" t="n">
        <v>5.9</v>
      </c>
      <c r="C45" s="87" t="n">
        <v>0.193</v>
      </c>
      <c r="D45" s="16" t="n">
        <v>1.25</v>
      </c>
      <c r="E45" s="87" t="n">
        <v>0.143</v>
      </c>
      <c r="F45" s="16" t="n">
        <v>0.84</v>
      </c>
      <c r="G45" s="87" t="n">
        <v>0.102</v>
      </c>
      <c r="H45" s="16" t="n">
        <v>0.53</v>
      </c>
    </row>
    <row r="46">
      <c r="A46" s="5" t="n">
        <v>2057</v>
      </c>
      <c r="B46" s="84" t="n">
        <v>5.8</v>
      </c>
      <c r="C46" s="85" t="n">
        <v>0.169</v>
      </c>
      <c r="D46" s="14" t="n">
        <v>1.08</v>
      </c>
      <c r="E46" s="85" t="n">
        <v>0.129</v>
      </c>
      <c r="F46" s="14" t="n">
        <v>0.75</v>
      </c>
      <c r="G46" s="85" t="n">
        <v>0.089</v>
      </c>
      <c r="H46" s="14" t="n">
        <v>0.45</v>
      </c>
    </row>
    <row r="47">
      <c r="A47" s="7" t="n">
        <v>2058</v>
      </c>
      <c r="B47" s="86" t="n">
        <v>5.7</v>
      </c>
      <c r="C47" s="87" t="n">
        <v>0.144</v>
      </c>
      <c r="D47" s="16" t="n">
        <v>0.89</v>
      </c>
      <c r="E47" s="87" t="n">
        <v>0.114</v>
      </c>
      <c r="F47" s="16" t="n">
        <v>0.65</v>
      </c>
      <c r="G47" s="87" t="n">
        <v>0.076</v>
      </c>
      <c r="H47" s="16" t="n">
        <v>0.38</v>
      </c>
    </row>
    <row r="48">
      <c r="A48" s="5" t="n">
        <v>2059</v>
      </c>
      <c r="B48" s="84" t="n">
        <v>5.6</v>
      </c>
      <c r="C48" s="85" t="n">
        <v>0.119</v>
      </c>
      <c r="D48" s="14" t="n">
        <v>0.73</v>
      </c>
      <c r="E48" s="85" t="n">
        <v>0.099</v>
      </c>
      <c r="F48" s="14" t="n">
        <v>0.55</v>
      </c>
      <c r="G48" s="85" t="n">
        <v>0.063</v>
      </c>
      <c r="H48" s="14" t="n">
        <v>0.31</v>
      </c>
    </row>
    <row r="49">
      <c r="A49" s="3" t="n">
        <v>2060</v>
      </c>
      <c r="B49" s="82" t="n">
        <v>5.5</v>
      </c>
      <c r="C49" s="83" t="n">
        <v>0.095</v>
      </c>
      <c r="D49" s="12" t="n">
        <v>0.57</v>
      </c>
      <c r="E49" s="83" t="n">
        <v>0.08500000000000001</v>
      </c>
      <c r="F49" s="12" t="n">
        <v>0.47</v>
      </c>
      <c r="G49" s="83" t="n">
        <v>0.05</v>
      </c>
      <c r="H49" s="12" t="n">
        <v>0.24</v>
      </c>
    </row>
    <row r="51">
      <c r="A51" s="23" t="inlineStr">
        <is>
          <t>C. 融资组合碳强度跟踪（输入年度数据，自动计算对比）</t>
        </is>
      </c>
    </row>
    <row r="52" ht="46" customHeight="1">
      <c r="A52" s="2" t="inlineStr">
        <is>
          <t>年份</t>
        </is>
      </c>
      <c r="B52" s="2" t="inlineStr">
        <is>
          <t>融资余额
(亿元)</t>
        </is>
      </c>
      <c r="C52" s="2" t="inlineStr">
        <is>
          <t>行业产量
(亿吨)</t>
        </is>
      </c>
      <c r="D52" s="2" t="inlineStr">
        <is>
          <t>融资组合
加权碳强度</t>
        </is>
      </c>
      <c r="E52" s="2" t="inlineStr">
        <is>
          <t>保守情景
碳强度</t>
        </is>
      </c>
      <c r="F52" s="2" t="inlineStr">
        <is>
          <t>组合vs保守
缺口</t>
        </is>
      </c>
      <c r="G52" s="2" t="inlineStr">
        <is>
          <t>适度情景
碳强度</t>
        </is>
      </c>
      <c r="H52" s="2" t="inlineStr">
        <is>
          <t>组合vs适度
缺口</t>
        </is>
      </c>
      <c r="I52" s="2" t="inlineStr">
        <is>
          <t>积极情景
碳强度</t>
        </is>
      </c>
      <c r="J52" s="2" t="inlineStr">
        <is>
          <t>组合vs积极
缺口</t>
        </is>
      </c>
    </row>
    <row r="53">
      <c r="A53" s="25" t="n">
        <v>2024</v>
      </c>
      <c r="B53" s="38" t="n"/>
      <c r="C53" s="86">
        <f>B13</f>
        <v/>
      </c>
      <c r="D53" s="95" t="n"/>
      <c r="E53" s="87">
        <f>C13</f>
        <v/>
      </c>
      <c r="F53" s="87">
        <f>IF(D53="","",D53-E53)</f>
        <v/>
      </c>
      <c r="G53" s="87">
        <f>E13</f>
        <v/>
      </c>
      <c r="H53" s="87">
        <f>IF(D53="","",D53-G53)</f>
        <v/>
      </c>
      <c r="I53" s="87">
        <f>G13</f>
        <v/>
      </c>
      <c r="J53" s="87">
        <f>IF(D53="","",D53-I53)</f>
        <v/>
      </c>
    </row>
    <row r="54">
      <c r="A54" s="20" t="n">
        <v>2025</v>
      </c>
      <c r="B54" s="38" t="n"/>
      <c r="C54" s="86">
        <f>B14</f>
        <v/>
      </c>
      <c r="D54" s="95" t="n"/>
      <c r="E54" s="87">
        <f>C14</f>
        <v/>
      </c>
      <c r="F54" s="87">
        <f>IF(D54="","",D54-E54)</f>
        <v/>
      </c>
      <c r="G54" s="87">
        <f>E14</f>
        <v/>
      </c>
      <c r="H54" s="87">
        <f>IF(D54="","",D54-G54)</f>
        <v/>
      </c>
      <c r="I54" s="87">
        <f>G14</f>
        <v/>
      </c>
      <c r="J54" s="87">
        <f>IF(D54="","",D54-I54)</f>
        <v/>
      </c>
    </row>
    <row r="55">
      <c r="A55" s="20" t="n">
        <v>2026</v>
      </c>
      <c r="B55" s="38" t="n"/>
      <c r="C55" s="86">
        <f>B15</f>
        <v/>
      </c>
      <c r="D55" s="95" t="n"/>
      <c r="E55" s="87">
        <f>C15</f>
        <v/>
      </c>
      <c r="F55" s="87">
        <f>IF(D55="","",D55-E55)</f>
        <v/>
      </c>
      <c r="G55" s="87">
        <f>E15</f>
        <v/>
      </c>
      <c r="H55" s="87">
        <f>IF(D55="","",D55-G55)</f>
        <v/>
      </c>
      <c r="I55" s="87">
        <f>G15</f>
        <v/>
      </c>
      <c r="J55" s="87">
        <f>IF(D55="","",D55-I55)</f>
        <v/>
      </c>
    </row>
    <row r="56">
      <c r="A56" s="20" t="n">
        <v>2027</v>
      </c>
      <c r="B56" s="38" t="n"/>
      <c r="C56" s="86">
        <f>B16</f>
        <v/>
      </c>
      <c r="D56" s="95" t="n"/>
      <c r="E56" s="87">
        <f>C16</f>
        <v/>
      </c>
      <c r="F56" s="87">
        <f>IF(D56="","",D56-E56)</f>
        <v/>
      </c>
      <c r="G56" s="87">
        <f>E16</f>
        <v/>
      </c>
      <c r="H56" s="87">
        <f>IF(D56="","",D56-G56)</f>
        <v/>
      </c>
      <c r="I56" s="87">
        <f>G16</f>
        <v/>
      </c>
      <c r="J56" s="87">
        <f>IF(D56="","",D56-I56)</f>
        <v/>
      </c>
    </row>
    <row r="57">
      <c r="A57" s="20" t="n">
        <v>2028</v>
      </c>
      <c r="B57" s="38" t="n"/>
      <c r="C57" s="86">
        <f>B17</f>
        <v/>
      </c>
      <c r="D57" s="95" t="n"/>
      <c r="E57" s="87">
        <f>C17</f>
        <v/>
      </c>
      <c r="F57" s="87">
        <f>IF(D57="","",D57-E57)</f>
        <v/>
      </c>
      <c r="G57" s="87">
        <f>E17</f>
        <v/>
      </c>
      <c r="H57" s="87">
        <f>IF(D57="","",D57-G57)</f>
        <v/>
      </c>
      <c r="I57" s="87">
        <f>G17</f>
        <v/>
      </c>
      <c r="J57" s="87">
        <f>IF(D57="","",D57-I57)</f>
        <v/>
      </c>
    </row>
    <row r="58">
      <c r="A58" s="20" t="n">
        <v>2029</v>
      </c>
      <c r="B58" s="38" t="n"/>
      <c r="C58" s="86">
        <f>B18</f>
        <v/>
      </c>
      <c r="D58" s="95" t="n"/>
      <c r="E58" s="87">
        <f>C18</f>
        <v/>
      </c>
      <c r="F58" s="87">
        <f>IF(D58="","",D58-E58)</f>
        <v/>
      </c>
      <c r="G58" s="87">
        <f>E18</f>
        <v/>
      </c>
      <c r="H58" s="87">
        <f>IF(D58="","",D58-G58)</f>
        <v/>
      </c>
      <c r="I58" s="87">
        <f>G18</f>
        <v/>
      </c>
      <c r="J58" s="87">
        <f>IF(D58="","",D58-I58)</f>
        <v/>
      </c>
    </row>
    <row r="59">
      <c r="A59" s="25" t="n">
        <v>2030</v>
      </c>
      <c r="B59" s="38" t="n"/>
      <c r="C59" s="86">
        <f>B19</f>
        <v/>
      </c>
      <c r="D59" s="95" t="n"/>
      <c r="E59" s="87">
        <f>C19</f>
        <v/>
      </c>
      <c r="F59" s="87">
        <f>IF(D59="","",D59-E59)</f>
        <v/>
      </c>
      <c r="G59" s="87">
        <f>E19</f>
        <v/>
      </c>
      <c r="H59" s="87">
        <f>IF(D59="","",D59-G59)</f>
        <v/>
      </c>
      <c r="I59" s="87">
        <f>G19</f>
        <v/>
      </c>
      <c r="J59" s="87">
        <f>IF(D59="","",D59-I59)</f>
        <v/>
      </c>
    </row>
    <row r="60">
      <c r="A60" s="20" t="n">
        <v>2031</v>
      </c>
      <c r="B60" s="38" t="n"/>
      <c r="C60" s="86">
        <f>B20</f>
        <v/>
      </c>
      <c r="D60" s="95" t="n"/>
      <c r="E60" s="87">
        <f>C20</f>
        <v/>
      </c>
      <c r="F60" s="87">
        <f>IF(D60="","",D60-E60)</f>
        <v/>
      </c>
      <c r="G60" s="87">
        <f>E20</f>
        <v/>
      </c>
      <c r="H60" s="87">
        <f>IF(D60="","",D60-G60)</f>
        <v/>
      </c>
      <c r="I60" s="87">
        <f>G20</f>
        <v/>
      </c>
      <c r="J60" s="87">
        <f>IF(D60="","",D60-I60)</f>
        <v/>
      </c>
    </row>
    <row r="61">
      <c r="A61" s="20" t="n">
        <v>2032</v>
      </c>
      <c r="B61" s="38" t="n"/>
      <c r="C61" s="86">
        <f>B21</f>
        <v/>
      </c>
      <c r="D61" s="95" t="n"/>
      <c r="E61" s="87">
        <f>C21</f>
        <v/>
      </c>
      <c r="F61" s="87">
        <f>IF(D61="","",D61-E61)</f>
        <v/>
      </c>
      <c r="G61" s="87">
        <f>E21</f>
        <v/>
      </c>
      <c r="H61" s="87">
        <f>IF(D61="","",D61-G61)</f>
        <v/>
      </c>
      <c r="I61" s="87">
        <f>G21</f>
        <v/>
      </c>
      <c r="J61" s="87">
        <f>IF(D61="","",D61-I61)</f>
        <v/>
      </c>
    </row>
    <row r="62">
      <c r="A62" s="20" t="n">
        <v>2033</v>
      </c>
      <c r="B62" s="38" t="n"/>
      <c r="C62" s="86">
        <f>B22</f>
        <v/>
      </c>
      <c r="D62" s="95" t="n"/>
      <c r="E62" s="87">
        <f>C22</f>
        <v/>
      </c>
      <c r="F62" s="87">
        <f>IF(D62="","",D62-E62)</f>
        <v/>
      </c>
      <c r="G62" s="87">
        <f>E22</f>
        <v/>
      </c>
      <c r="H62" s="87">
        <f>IF(D62="","",D62-G62)</f>
        <v/>
      </c>
      <c r="I62" s="87">
        <f>G22</f>
        <v/>
      </c>
      <c r="J62" s="87">
        <f>IF(D62="","",D62-I62)</f>
        <v/>
      </c>
    </row>
    <row r="63">
      <c r="A63" s="20" t="n">
        <v>2034</v>
      </c>
      <c r="B63" s="38" t="n"/>
      <c r="C63" s="86">
        <f>B23</f>
        <v/>
      </c>
      <c r="D63" s="95" t="n"/>
      <c r="E63" s="87">
        <f>C23</f>
        <v/>
      </c>
      <c r="F63" s="87">
        <f>IF(D63="","",D63-E63)</f>
        <v/>
      </c>
      <c r="G63" s="87">
        <f>E23</f>
        <v/>
      </c>
      <c r="H63" s="87">
        <f>IF(D63="","",D63-G63)</f>
        <v/>
      </c>
      <c r="I63" s="87">
        <f>G23</f>
        <v/>
      </c>
      <c r="J63" s="87">
        <f>IF(D63="","",D63-I63)</f>
        <v/>
      </c>
    </row>
    <row r="64">
      <c r="A64" s="25" t="n">
        <v>2035</v>
      </c>
      <c r="B64" s="38" t="n"/>
      <c r="C64" s="86">
        <f>B24</f>
        <v/>
      </c>
      <c r="D64" s="95" t="n"/>
      <c r="E64" s="87">
        <f>C24</f>
        <v/>
      </c>
      <c r="F64" s="87">
        <f>IF(D64="","",D64-E64)</f>
        <v/>
      </c>
      <c r="G64" s="87">
        <f>E24</f>
        <v/>
      </c>
      <c r="H64" s="87">
        <f>IF(D64="","",D64-G64)</f>
        <v/>
      </c>
      <c r="I64" s="87">
        <f>G24</f>
        <v/>
      </c>
      <c r="J64" s="87">
        <f>IF(D64="","",D64-I64)</f>
        <v/>
      </c>
    </row>
    <row r="65">
      <c r="A65" s="20" t="n">
        <v>2036</v>
      </c>
      <c r="B65" s="38" t="n"/>
      <c r="C65" s="86">
        <f>B25</f>
        <v/>
      </c>
      <c r="D65" s="95" t="n"/>
      <c r="E65" s="87">
        <f>C25</f>
        <v/>
      </c>
      <c r="F65" s="87">
        <f>IF(D65="","",D65-E65)</f>
        <v/>
      </c>
      <c r="G65" s="87">
        <f>E25</f>
        <v/>
      </c>
      <c r="H65" s="87">
        <f>IF(D65="","",D65-G65)</f>
        <v/>
      </c>
      <c r="I65" s="87">
        <f>G25</f>
        <v/>
      </c>
      <c r="J65" s="87">
        <f>IF(D65="","",D65-I65)</f>
        <v/>
      </c>
    </row>
    <row r="66">
      <c r="A66" s="20" t="n">
        <v>2037</v>
      </c>
      <c r="B66" s="38" t="n"/>
      <c r="C66" s="86">
        <f>B26</f>
        <v/>
      </c>
      <c r="D66" s="95" t="n"/>
      <c r="E66" s="87">
        <f>C26</f>
        <v/>
      </c>
      <c r="F66" s="87">
        <f>IF(D66="","",D66-E66)</f>
        <v/>
      </c>
      <c r="G66" s="87">
        <f>E26</f>
        <v/>
      </c>
      <c r="H66" s="87">
        <f>IF(D66="","",D66-G66)</f>
        <v/>
      </c>
      <c r="I66" s="87">
        <f>G26</f>
        <v/>
      </c>
      <c r="J66" s="87">
        <f>IF(D66="","",D66-I66)</f>
        <v/>
      </c>
    </row>
    <row r="67">
      <c r="A67" s="20" t="n">
        <v>2038</v>
      </c>
      <c r="B67" s="38" t="n"/>
      <c r="C67" s="86">
        <f>B27</f>
        <v/>
      </c>
      <c r="D67" s="95" t="n"/>
      <c r="E67" s="87">
        <f>C27</f>
        <v/>
      </c>
      <c r="F67" s="87">
        <f>IF(D67="","",D67-E67)</f>
        <v/>
      </c>
      <c r="G67" s="87">
        <f>E27</f>
        <v/>
      </c>
      <c r="H67" s="87">
        <f>IF(D67="","",D67-G67)</f>
        <v/>
      </c>
      <c r="I67" s="87">
        <f>G27</f>
        <v/>
      </c>
      <c r="J67" s="87">
        <f>IF(D67="","",D67-I67)</f>
        <v/>
      </c>
    </row>
    <row r="68">
      <c r="A68" s="20" t="n">
        <v>2039</v>
      </c>
      <c r="B68" s="38" t="n"/>
      <c r="C68" s="86">
        <f>B28</f>
        <v/>
      </c>
      <c r="D68" s="95" t="n"/>
      <c r="E68" s="87">
        <f>C28</f>
        <v/>
      </c>
      <c r="F68" s="87">
        <f>IF(D68="","",D68-E68)</f>
        <v/>
      </c>
      <c r="G68" s="87">
        <f>E28</f>
        <v/>
      </c>
      <c r="H68" s="87">
        <f>IF(D68="","",D68-G68)</f>
        <v/>
      </c>
      <c r="I68" s="87">
        <f>G28</f>
        <v/>
      </c>
      <c r="J68" s="87">
        <f>IF(D68="","",D68-I68)</f>
        <v/>
      </c>
    </row>
    <row r="69">
      <c r="A69" s="25" t="n">
        <v>2040</v>
      </c>
      <c r="B69" s="38" t="n"/>
      <c r="C69" s="86">
        <f>B29</f>
        <v/>
      </c>
      <c r="D69" s="95" t="n"/>
      <c r="E69" s="87">
        <f>C29</f>
        <v/>
      </c>
      <c r="F69" s="87">
        <f>IF(D69="","",D69-E69)</f>
        <v/>
      </c>
      <c r="G69" s="87">
        <f>E29</f>
        <v/>
      </c>
      <c r="H69" s="87">
        <f>IF(D69="","",D69-G69)</f>
        <v/>
      </c>
      <c r="I69" s="87">
        <f>G29</f>
        <v/>
      </c>
      <c r="J69" s="87">
        <f>IF(D69="","",D69-I69)</f>
        <v/>
      </c>
    </row>
    <row r="70">
      <c r="A70" s="20" t="n">
        <v>2041</v>
      </c>
      <c r="B70" s="38" t="n"/>
      <c r="C70" s="86">
        <f>B30</f>
        <v/>
      </c>
      <c r="D70" s="95" t="n"/>
      <c r="E70" s="87">
        <f>C30</f>
        <v/>
      </c>
      <c r="F70" s="87">
        <f>IF(D70="","",D70-E70)</f>
        <v/>
      </c>
      <c r="G70" s="87">
        <f>E30</f>
        <v/>
      </c>
      <c r="H70" s="87">
        <f>IF(D70="","",D70-G70)</f>
        <v/>
      </c>
      <c r="I70" s="87">
        <f>G30</f>
        <v/>
      </c>
      <c r="J70" s="87">
        <f>IF(D70="","",D70-I70)</f>
        <v/>
      </c>
    </row>
    <row r="71">
      <c r="A71" s="20" t="n">
        <v>2042</v>
      </c>
      <c r="B71" s="38" t="n"/>
      <c r="C71" s="86">
        <f>B31</f>
        <v/>
      </c>
      <c r="D71" s="95" t="n"/>
      <c r="E71" s="87">
        <f>C31</f>
        <v/>
      </c>
      <c r="F71" s="87">
        <f>IF(D71="","",D71-E71)</f>
        <v/>
      </c>
      <c r="G71" s="87">
        <f>E31</f>
        <v/>
      </c>
      <c r="H71" s="87">
        <f>IF(D71="","",D71-G71)</f>
        <v/>
      </c>
      <c r="I71" s="87">
        <f>G31</f>
        <v/>
      </c>
      <c r="J71" s="87">
        <f>IF(D71="","",D71-I71)</f>
        <v/>
      </c>
    </row>
    <row r="72">
      <c r="A72" s="20" t="n">
        <v>2043</v>
      </c>
      <c r="B72" s="38" t="n"/>
      <c r="C72" s="86">
        <f>B32</f>
        <v/>
      </c>
      <c r="D72" s="95" t="n"/>
      <c r="E72" s="87">
        <f>C32</f>
        <v/>
      </c>
      <c r="F72" s="87">
        <f>IF(D72="","",D72-E72)</f>
        <v/>
      </c>
      <c r="G72" s="87">
        <f>E32</f>
        <v/>
      </c>
      <c r="H72" s="87">
        <f>IF(D72="","",D72-G72)</f>
        <v/>
      </c>
      <c r="I72" s="87">
        <f>G32</f>
        <v/>
      </c>
      <c r="J72" s="87">
        <f>IF(D72="","",D72-I72)</f>
        <v/>
      </c>
    </row>
    <row r="73">
      <c r="A73" s="20" t="n">
        <v>2044</v>
      </c>
      <c r="B73" s="38" t="n"/>
      <c r="C73" s="86">
        <f>B33</f>
        <v/>
      </c>
      <c r="D73" s="95" t="n"/>
      <c r="E73" s="87">
        <f>C33</f>
        <v/>
      </c>
      <c r="F73" s="87">
        <f>IF(D73="","",D73-E73)</f>
        <v/>
      </c>
      <c r="G73" s="87">
        <f>E33</f>
        <v/>
      </c>
      <c r="H73" s="87">
        <f>IF(D73="","",D73-G73)</f>
        <v/>
      </c>
      <c r="I73" s="87">
        <f>G33</f>
        <v/>
      </c>
      <c r="J73" s="87">
        <f>IF(D73="","",D73-I73)</f>
        <v/>
      </c>
    </row>
    <row r="74">
      <c r="A74" s="20" t="n">
        <v>2045</v>
      </c>
      <c r="B74" s="38" t="n"/>
      <c r="C74" s="86">
        <f>B34</f>
        <v/>
      </c>
      <c r="D74" s="95" t="n"/>
      <c r="E74" s="87">
        <f>C34</f>
        <v/>
      </c>
      <c r="F74" s="87">
        <f>IF(D74="","",D74-E74)</f>
        <v/>
      </c>
      <c r="G74" s="87">
        <f>E34</f>
        <v/>
      </c>
      <c r="H74" s="87">
        <f>IF(D74="","",D74-G74)</f>
        <v/>
      </c>
      <c r="I74" s="87">
        <f>G34</f>
        <v/>
      </c>
      <c r="J74" s="87">
        <f>IF(D74="","",D74-I74)</f>
        <v/>
      </c>
    </row>
    <row r="75">
      <c r="A75" s="20" t="n">
        <v>2046</v>
      </c>
      <c r="B75" s="38" t="n"/>
      <c r="C75" s="86">
        <f>B35</f>
        <v/>
      </c>
      <c r="D75" s="95" t="n"/>
      <c r="E75" s="87">
        <f>C35</f>
        <v/>
      </c>
      <c r="F75" s="87">
        <f>IF(D75="","",D75-E75)</f>
        <v/>
      </c>
      <c r="G75" s="87">
        <f>E35</f>
        <v/>
      </c>
      <c r="H75" s="87">
        <f>IF(D75="","",D75-G75)</f>
        <v/>
      </c>
      <c r="I75" s="87">
        <f>G35</f>
        <v/>
      </c>
      <c r="J75" s="87">
        <f>IF(D75="","",D75-I75)</f>
        <v/>
      </c>
    </row>
    <row r="76">
      <c r="A76" s="20" t="n">
        <v>2047</v>
      </c>
      <c r="B76" s="38" t="n"/>
      <c r="C76" s="86">
        <f>B36</f>
        <v/>
      </c>
      <c r="D76" s="95" t="n"/>
      <c r="E76" s="87">
        <f>C36</f>
        <v/>
      </c>
      <c r="F76" s="87">
        <f>IF(D76="","",D76-E76)</f>
        <v/>
      </c>
      <c r="G76" s="87">
        <f>E36</f>
        <v/>
      </c>
      <c r="H76" s="87">
        <f>IF(D76="","",D76-G76)</f>
        <v/>
      </c>
      <c r="I76" s="87">
        <f>G36</f>
        <v/>
      </c>
      <c r="J76" s="87">
        <f>IF(D76="","",D76-I76)</f>
        <v/>
      </c>
    </row>
    <row r="77">
      <c r="A77" s="20" t="n">
        <v>2048</v>
      </c>
      <c r="B77" s="38" t="n"/>
      <c r="C77" s="86">
        <f>B37</f>
        <v/>
      </c>
      <c r="D77" s="95" t="n"/>
      <c r="E77" s="87">
        <f>C37</f>
        <v/>
      </c>
      <c r="F77" s="87">
        <f>IF(D77="","",D77-E77)</f>
        <v/>
      </c>
      <c r="G77" s="87">
        <f>E37</f>
        <v/>
      </c>
      <c r="H77" s="87">
        <f>IF(D77="","",D77-G77)</f>
        <v/>
      </c>
      <c r="I77" s="87">
        <f>G37</f>
        <v/>
      </c>
      <c r="J77" s="87">
        <f>IF(D77="","",D77-I77)</f>
        <v/>
      </c>
    </row>
    <row r="78">
      <c r="A78" s="20" t="n">
        <v>2049</v>
      </c>
      <c r="B78" s="38" t="n"/>
      <c r="C78" s="86">
        <f>B38</f>
        <v/>
      </c>
      <c r="D78" s="95" t="n"/>
      <c r="E78" s="87">
        <f>C38</f>
        <v/>
      </c>
      <c r="F78" s="87">
        <f>IF(D78="","",D78-E78)</f>
        <v/>
      </c>
      <c r="G78" s="87">
        <f>E38</f>
        <v/>
      </c>
      <c r="H78" s="87">
        <f>IF(D78="","",D78-G78)</f>
        <v/>
      </c>
      <c r="I78" s="87">
        <f>G38</f>
        <v/>
      </c>
      <c r="J78" s="87">
        <f>IF(D78="","",D78-I78)</f>
        <v/>
      </c>
    </row>
    <row r="79">
      <c r="A79" s="25" t="n">
        <v>2050</v>
      </c>
      <c r="B79" s="38" t="n"/>
      <c r="C79" s="86">
        <f>B39</f>
        <v/>
      </c>
      <c r="D79" s="95" t="n"/>
      <c r="E79" s="87">
        <f>C39</f>
        <v/>
      </c>
      <c r="F79" s="87">
        <f>IF(D79="","",D79-E79)</f>
        <v/>
      </c>
      <c r="G79" s="87">
        <f>E39</f>
        <v/>
      </c>
      <c r="H79" s="87">
        <f>IF(D79="","",D79-G79)</f>
        <v/>
      </c>
      <c r="I79" s="87">
        <f>G39</f>
        <v/>
      </c>
      <c r="J79" s="87">
        <f>IF(D79="","",D79-I79)</f>
        <v/>
      </c>
    </row>
    <row r="80">
      <c r="A80" s="20" t="n">
        <v>2051</v>
      </c>
      <c r="B80" s="38" t="n"/>
      <c r="C80" s="86">
        <f>B40</f>
        <v/>
      </c>
      <c r="D80" s="95" t="n"/>
      <c r="E80" s="87">
        <f>C40</f>
        <v/>
      </c>
      <c r="F80" s="87">
        <f>IF(D80="","",D80-E80)</f>
        <v/>
      </c>
      <c r="G80" s="87">
        <f>E40</f>
        <v/>
      </c>
      <c r="H80" s="87">
        <f>IF(D80="","",D80-G80)</f>
        <v/>
      </c>
      <c r="I80" s="87">
        <f>G40</f>
        <v/>
      </c>
      <c r="J80" s="87">
        <f>IF(D80="","",D80-I80)</f>
        <v/>
      </c>
    </row>
    <row r="81">
      <c r="A81" s="20" t="n">
        <v>2052</v>
      </c>
      <c r="B81" s="38" t="n"/>
      <c r="C81" s="86">
        <f>B41</f>
        <v/>
      </c>
      <c r="D81" s="95" t="n"/>
      <c r="E81" s="87">
        <f>C41</f>
        <v/>
      </c>
      <c r="F81" s="87">
        <f>IF(D81="","",D81-E81)</f>
        <v/>
      </c>
      <c r="G81" s="87">
        <f>E41</f>
        <v/>
      </c>
      <c r="H81" s="87">
        <f>IF(D81="","",D81-G81)</f>
        <v/>
      </c>
      <c r="I81" s="87">
        <f>G41</f>
        <v/>
      </c>
      <c r="J81" s="87">
        <f>IF(D81="","",D81-I81)</f>
        <v/>
      </c>
    </row>
    <row r="82">
      <c r="A82" s="20" t="n">
        <v>2053</v>
      </c>
      <c r="B82" s="38" t="n"/>
      <c r="C82" s="86">
        <f>B42</f>
        <v/>
      </c>
      <c r="D82" s="95" t="n"/>
      <c r="E82" s="87">
        <f>C42</f>
        <v/>
      </c>
      <c r="F82" s="87">
        <f>IF(D82="","",D82-E82)</f>
        <v/>
      </c>
      <c r="G82" s="87">
        <f>E42</f>
        <v/>
      </c>
      <c r="H82" s="87">
        <f>IF(D82="","",D82-G82)</f>
        <v/>
      </c>
      <c r="I82" s="87">
        <f>G42</f>
        <v/>
      </c>
      <c r="J82" s="87">
        <f>IF(D82="","",D82-I82)</f>
        <v/>
      </c>
    </row>
    <row r="83">
      <c r="A83" s="20" t="n">
        <v>2054</v>
      </c>
      <c r="B83" s="38" t="n"/>
      <c r="C83" s="86">
        <f>B43</f>
        <v/>
      </c>
      <c r="D83" s="95" t="n"/>
      <c r="E83" s="87">
        <f>C43</f>
        <v/>
      </c>
      <c r="F83" s="87">
        <f>IF(D83="","",D83-E83)</f>
        <v/>
      </c>
      <c r="G83" s="87">
        <f>E43</f>
        <v/>
      </c>
      <c r="H83" s="87">
        <f>IF(D83="","",D83-G83)</f>
        <v/>
      </c>
      <c r="I83" s="87">
        <f>G43</f>
        <v/>
      </c>
      <c r="J83" s="87">
        <f>IF(D83="","",D83-I83)</f>
        <v/>
      </c>
    </row>
    <row r="84">
      <c r="A84" s="20" t="n">
        <v>2055</v>
      </c>
      <c r="B84" s="38" t="n"/>
      <c r="C84" s="86">
        <f>B44</f>
        <v/>
      </c>
      <c r="D84" s="95" t="n"/>
      <c r="E84" s="87">
        <f>C44</f>
        <v/>
      </c>
      <c r="F84" s="87">
        <f>IF(D84="","",D84-E84)</f>
        <v/>
      </c>
      <c r="G84" s="87">
        <f>E44</f>
        <v/>
      </c>
      <c r="H84" s="87">
        <f>IF(D84="","",D84-G84)</f>
        <v/>
      </c>
      <c r="I84" s="87">
        <f>G44</f>
        <v/>
      </c>
      <c r="J84" s="87">
        <f>IF(D84="","",D84-I84)</f>
        <v/>
      </c>
    </row>
    <row r="85">
      <c r="A85" s="20" t="n">
        <v>2056</v>
      </c>
      <c r="B85" s="38" t="n"/>
      <c r="C85" s="86">
        <f>B45</f>
        <v/>
      </c>
      <c r="D85" s="95" t="n"/>
      <c r="E85" s="87">
        <f>C45</f>
        <v/>
      </c>
      <c r="F85" s="87">
        <f>IF(D85="","",D85-E85)</f>
        <v/>
      </c>
      <c r="G85" s="87">
        <f>E45</f>
        <v/>
      </c>
      <c r="H85" s="87">
        <f>IF(D85="","",D85-G85)</f>
        <v/>
      </c>
      <c r="I85" s="87">
        <f>G45</f>
        <v/>
      </c>
      <c r="J85" s="87">
        <f>IF(D85="","",D85-I85)</f>
        <v/>
      </c>
    </row>
    <row r="86">
      <c r="A86" s="20" t="n">
        <v>2057</v>
      </c>
      <c r="B86" s="38" t="n"/>
      <c r="C86" s="86">
        <f>B46</f>
        <v/>
      </c>
      <c r="D86" s="95" t="n"/>
      <c r="E86" s="87">
        <f>C46</f>
        <v/>
      </c>
      <c r="F86" s="87">
        <f>IF(D86="","",D86-E86)</f>
        <v/>
      </c>
      <c r="G86" s="87">
        <f>E46</f>
        <v/>
      </c>
      <c r="H86" s="87">
        <f>IF(D86="","",D86-G86)</f>
        <v/>
      </c>
      <c r="I86" s="87">
        <f>G46</f>
        <v/>
      </c>
      <c r="J86" s="87">
        <f>IF(D86="","",D86-I86)</f>
        <v/>
      </c>
    </row>
    <row r="87">
      <c r="A87" s="20" t="n">
        <v>2058</v>
      </c>
      <c r="B87" s="38" t="n"/>
      <c r="C87" s="86">
        <f>B47</f>
        <v/>
      </c>
      <c r="D87" s="95" t="n"/>
      <c r="E87" s="87">
        <f>C47</f>
        <v/>
      </c>
      <c r="F87" s="87">
        <f>IF(D87="","",D87-E87)</f>
        <v/>
      </c>
      <c r="G87" s="87">
        <f>E47</f>
        <v/>
      </c>
      <c r="H87" s="87">
        <f>IF(D87="","",D87-G87)</f>
        <v/>
      </c>
      <c r="I87" s="87">
        <f>G47</f>
        <v/>
      </c>
      <c r="J87" s="87">
        <f>IF(D87="","",D87-I87)</f>
        <v/>
      </c>
    </row>
    <row r="88">
      <c r="A88" s="20" t="n">
        <v>2059</v>
      </c>
      <c r="B88" s="38" t="n"/>
      <c r="C88" s="86">
        <f>B48</f>
        <v/>
      </c>
      <c r="D88" s="95" t="n"/>
      <c r="E88" s="87">
        <f>C48</f>
        <v/>
      </c>
      <c r="F88" s="87">
        <f>IF(D88="","",D88-E88)</f>
        <v/>
      </c>
      <c r="G88" s="87">
        <f>E48</f>
        <v/>
      </c>
      <c r="H88" s="87">
        <f>IF(D88="","",D88-G88)</f>
        <v/>
      </c>
      <c r="I88" s="87">
        <f>G48</f>
        <v/>
      </c>
      <c r="J88" s="87">
        <f>IF(D88="","",D88-I88)</f>
        <v/>
      </c>
    </row>
    <row r="89">
      <c r="A89" s="25" t="n">
        <v>2060</v>
      </c>
      <c r="B89" s="38" t="n"/>
      <c r="C89" s="86">
        <f>B49</f>
        <v/>
      </c>
      <c r="D89" s="95" t="n"/>
      <c r="E89" s="87">
        <f>C49</f>
        <v/>
      </c>
      <c r="F89" s="87">
        <f>IF(D89="","",D89-E89)</f>
        <v/>
      </c>
      <c r="G89" s="87">
        <f>E49</f>
        <v/>
      </c>
      <c r="H89" s="87">
        <f>IF(D89="","",D89-G89)</f>
        <v/>
      </c>
      <c r="I89" s="87">
        <f>G49</f>
        <v/>
      </c>
      <c r="J89" s="87">
        <f>IF(D89="","",D89-I89)</f>
        <v/>
      </c>
    </row>
    <row r="91">
      <c r="A91" s="23" t="inlineStr">
        <is>
          <t>D. 使用说明</t>
        </is>
      </c>
    </row>
    <row r="92">
      <c r="A92" s="39" t="inlineStr">
        <is>
          <t>1. 黄色底色单元格为可输入区域，填入实际数据后系统自动计算
2. 缺口 = 融资组合碳强度 - 情景基准碳强度，正值表示组合碳强度高于基准（需改进），负值表示优于基准
3. 融资组合碳强度 = 企业i碳强度 × 企业i融资余额 / 企业i融资余额</t>
        </is>
      </c>
    </row>
    <row r="93"/>
    <row r="94"/>
  </sheetData>
  <mergeCells count="6">
    <mergeCell ref="A5:C5"/>
    <mergeCell ref="A92:H94"/>
    <mergeCell ref="A8:C8"/>
    <mergeCell ref="A6:C6"/>
    <mergeCell ref="A9:C9"/>
    <mergeCell ref="A7:C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
  <sheetViews>
    <sheetView topLeftCell="A37" workbookViewId="0">
      <selection activeCell="A1" sqref="A1"/>
    </sheetView>
  </sheetViews>
  <sheetFormatPr baseColWidth="8" defaultColWidth="9" defaultRowHeight="16.8"/>
  <cols>
    <col width="8" customWidth="1" min="1" max="1"/>
    <col width="18" customWidth="1" min="2" max="2"/>
    <col width="22" customWidth="1" min="3" max="3"/>
    <col width="28" customWidth="1" min="4" max="4"/>
    <col width="14" customWidth="1" min="5" max="11"/>
  </cols>
  <sheetData>
    <row r="1" ht="20.4" customHeight="1">
      <c r="A1" s="1" t="inlineStr">
        <is>
          <t>金融机构目标设置（企业版）</t>
        </is>
      </c>
    </row>
    <row r="2">
      <c r="A2" s="19" t="inlineStr">
        <is>
          <t>输入重点客户碳强度数据 → 自动对比三情景基准 → 生成分类建议</t>
        </is>
      </c>
    </row>
    <row r="4">
      <c r="A4" s="23" t="inlineStr">
        <is>
          <t>A. 重点客户碳强度数据</t>
        </is>
      </c>
    </row>
    <row r="5" ht="31" customHeight="1">
      <c r="A5" s="2" t="inlineStr">
        <is>
          <t>客户名称</t>
        </is>
      </c>
      <c r="B5" s="2" t="inlineStr">
        <is>
          <t>2024碳强度
(tCO2/t)</t>
        </is>
      </c>
      <c r="C5" s="2" t="inlineStr">
        <is>
          <t>2025碳强度
(tCO2/t)</t>
        </is>
      </c>
      <c r="D5" s="2" t="inlineStr">
        <is>
          <t>2030目标
碳强度</t>
        </is>
      </c>
      <c r="E5" s="2" t="inlineStr">
        <is>
          <t>距保守情景
缺口</t>
        </is>
      </c>
      <c r="F5" s="2" t="inlineStr">
        <is>
          <t>距适度情景
缺口</t>
        </is>
      </c>
      <c r="G5" s="2" t="inlineStr">
        <is>
          <t>距积极情景
缺口</t>
        </is>
      </c>
      <c r="H5" s="2" t="inlineStr">
        <is>
          <t>情景分类</t>
        </is>
      </c>
      <c r="I5" s="2" t="inlineStr">
        <is>
          <t>融资余额
(亿元)</t>
        </is>
      </c>
      <c r="J5" s="2" t="inlineStr">
        <is>
          <t>建议</t>
        </is>
      </c>
    </row>
    <row r="6" ht="31" customHeight="1">
      <c r="A6" s="25" t="inlineStr">
        <is>
          <t>海螺水泥</t>
        </is>
      </c>
      <c r="B6" s="95" t="n"/>
      <c r="C6" s="95" t="n"/>
      <c r="D6" s="95" t="n"/>
      <c r="E6" s="87">
        <f>IF(D6="","",D6-0.571)</f>
        <v/>
      </c>
      <c r="F6" s="87">
        <f>IF(D6="","",D6-0.547)</f>
        <v/>
      </c>
      <c r="G6" s="87">
        <f>IF(D6="","",D6-0.521)</f>
        <v/>
      </c>
      <c r="H6" s="20">
        <f>IF(D6="","",IF(D6&lt;=0.521,"领跑者",IF(D6&lt;=0.547,"积极转型",IF(D6&lt;=0.571,"跟随转型","需重点关注"))))</f>
        <v/>
      </c>
      <c r="I6" s="31" t="n"/>
      <c r="J6" s="32">
        <f>IF(D6="","",IF(H6="领跑者","维持融资，探索可持续挂钩产品",IF(H6="积极转型","适度支持转型投资",IF(H6="跟随转型","增加技改融资引导",IF(H6="需重点关注","评估退出策略或附加减排条件","")))))</f>
        <v/>
      </c>
    </row>
    <row r="7" ht="31" customHeight="1">
      <c r="A7" s="25" t="inlineStr">
        <is>
          <t>华新水泥</t>
        </is>
      </c>
      <c r="B7" s="95" t="n"/>
      <c r="C7" s="95" t="n"/>
      <c r="D7" s="95" t="n"/>
      <c r="E7" s="87">
        <f>IF(D7="","",D7-0.571)</f>
        <v/>
      </c>
      <c r="F7" s="87">
        <f>IF(D7="","",D7-0.547)</f>
        <v/>
      </c>
      <c r="G7" s="87">
        <f>IF(D7="","",D7-0.521)</f>
        <v/>
      </c>
      <c r="H7" s="20">
        <f>IF(D7="","",IF(D7&lt;=0.521,"领跑者",IF(D7&lt;=0.547,"积极转型",IF(D7&lt;=0.571,"跟随转型","需重点关注"))))</f>
        <v/>
      </c>
      <c r="I7" s="31" t="n"/>
      <c r="J7" s="32">
        <f>IF(D7="","",IF(H7="领跑者","维持融资，探索可持续挂钩产品",IF(H7="积极转型","适度支持转型投资",IF(H7="跟随转型","增加技改融资引导",IF(H7="需重点关注","评估退出策略或附加减排条件","")))))</f>
        <v/>
      </c>
    </row>
    <row r="8" ht="31" customHeight="1">
      <c r="A8" s="25" t="inlineStr">
        <is>
          <t>中国建材</t>
        </is>
      </c>
      <c r="B8" s="95" t="n"/>
      <c r="C8" s="95" t="n"/>
      <c r="D8" s="95" t="n"/>
      <c r="E8" s="87">
        <f>IF(D8="","",D8-0.571)</f>
        <v/>
      </c>
      <c r="F8" s="87">
        <f>IF(D8="","",D8-0.547)</f>
        <v/>
      </c>
      <c r="G8" s="87">
        <f>IF(D8="","",D8-0.521)</f>
        <v/>
      </c>
      <c r="H8" s="20">
        <f>IF(D8="","",IF(D8&lt;=0.521,"领跑者",IF(D8&lt;=0.547,"积极转型",IF(D8&lt;=0.571,"跟随转型","需重点关注"))))</f>
        <v/>
      </c>
      <c r="I8" s="31" t="n"/>
      <c r="J8" s="32">
        <f>IF(D8="","",IF(H8="领跑者","维持融资，探索可持续挂钩产品",IF(H8="积极转型","适度支持转型投资",IF(H8="跟随转型","增加技改融资引导",IF(H8="需重点关注","评估退出策略或附加减排条件","")))))</f>
        <v/>
      </c>
    </row>
    <row r="9" ht="31" customHeight="1">
      <c r="A9" s="25" t="inlineStr">
        <is>
          <t>华润水泥</t>
        </is>
      </c>
      <c r="B9" s="95" t="n"/>
      <c r="C9" s="95" t="n"/>
      <c r="D9" s="95" t="n"/>
      <c r="E9" s="87">
        <f>IF(D9="","",D9-0.571)</f>
        <v/>
      </c>
      <c r="F9" s="87">
        <f>IF(D9="","",D9-0.547)</f>
        <v/>
      </c>
      <c r="G9" s="87">
        <f>IF(D9="","",D9-0.521)</f>
        <v/>
      </c>
      <c r="H9" s="20">
        <f>IF(D9="","",IF(D9&lt;=0.521,"领跑者",IF(D9&lt;=0.547,"积极转型",IF(D9&lt;=0.571,"跟随转型","需重点关注"))))</f>
        <v/>
      </c>
      <c r="I9" s="31" t="n"/>
      <c r="J9" s="32">
        <f>IF(D9="","",IF(H9="领跑者","维持融资，探索可持续挂钩产品",IF(H9="积极转型","适度支持转型投资",IF(H9="跟随转型","增加技改融资引导",IF(H9="需重点关注","评估退出策略或附加减排条件","")))))</f>
        <v/>
      </c>
    </row>
    <row r="10" ht="31" customHeight="1">
      <c r="A10" s="25" t="inlineStr">
        <is>
          <t>红狮水泥</t>
        </is>
      </c>
      <c r="B10" s="95" t="n"/>
      <c r="C10" s="95" t="n"/>
      <c r="D10" s="95" t="n"/>
      <c r="E10" s="87">
        <f>IF(D10="","",D10-0.571)</f>
        <v/>
      </c>
      <c r="F10" s="87">
        <f>IF(D10="","",D10-0.547)</f>
        <v/>
      </c>
      <c r="G10" s="87">
        <f>IF(D10="","",D10-0.521)</f>
        <v/>
      </c>
      <c r="H10" s="20">
        <f>IF(D10="","",IF(D10&lt;=0.521,"领跑者",IF(D10&lt;=0.547,"积极转型",IF(D10&lt;=0.571,"跟随转型","需重点关注"))))</f>
        <v/>
      </c>
      <c r="I10" s="31" t="n"/>
      <c r="J10" s="32">
        <f>IF(D10="","",IF(H10="领跑者","维持融资，探索可持续挂钩产品",IF(H10="积极转型","适度支持转型投资",IF(H10="跟随转型","增加技改融资引导",IF(H10="需重点关注","评估退出策略或附加减排条件","")))))</f>
        <v/>
      </c>
    </row>
    <row r="12">
      <c r="A12" s="23" t="inlineStr">
        <is>
          <t>B. 客户分类标准</t>
        </is>
      </c>
    </row>
    <row r="13">
      <c r="A13" s="2" t="inlineStr">
        <is>
          <t>分类</t>
        </is>
      </c>
      <c r="B13" s="2" t="inlineStr">
        <is>
          <t>2030碳强度标准</t>
        </is>
      </c>
      <c r="C13" s="2" t="inlineStr">
        <is>
          <t>说明</t>
        </is>
      </c>
      <c r="D13" s="2" t="inlineStr">
        <is>
          <t>融资建议</t>
        </is>
      </c>
    </row>
    <row r="14" ht="31" customHeight="1">
      <c r="A14" s="27" t="inlineStr">
        <is>
          <t>领跑者</t>
        </is>
      </c>
      <c r="B14" s="20" t="inlineStr">
        <is>
          <t>&lt;= 0.521 tCO2/t</t>
        </is>
      </c>
      <c r="C14" s="28" t="inlineStr">
        <is>
          <t>达到或超过积极情景标准</t>
        </is>
      </c>
      <c r="D14" s="28" t="inlineStr">
        <is>
          <t>维持融资，探索可持续挂钩产品</t>
        </is>
      </c>
    </row>
    <row r="15" ht="31" customHeight="1">
      <c r="A15" s="27" t="inlineStr">
        <is>
          <t>积极转型</t>
        </is>
      </c>
      <c r="B15" s="20" t="inlineStr">
        <is>
          <t>0.521 - 0.547</t>
        </is>
      </c>
      <c r="C15" s="28" t="inlineStr">
        <is>
          <t>介于积极与适度情景之间</t>
        </is>
      </c>
      <c r="D15" s="28" t="inlineStr">
        <is>
          <t>适度支持转型投资</t>
        </is>
      </c>
    </row>
    <row r="16" ht="31" customHeight="1">
      <c r="A16" s="29" t="inlineStr">
        <is>
          <t>跟随转型</t>
        </is>
      </c>
      <c r="B16" s="20" t="inlineStr">
        <is>
          <t>0.547 - 0.571</t>
        </is>
      </c>
      <c r="C16" s="28" t="inlineStr">
        <is>
          <t>介于适度与保守情景之间</t>
        </is>
      </c>
      <c r="D16" s="28" t="inlineStr">
        <is>
          <t>增加技改融资引导</t>
        </is>
      </c>
    </row>
    <row r="17" ht="31" customHeight="1">
      <c r="A17" s="30" t="inlineStr">
        <is>
          <t>需重点关注</t>
        </is>
      </c>
      <c r="B17" s="20" t="inlineStr">
        <is>
          <t>&gt; 0.571 tCO2/t</t>
        </is>
      </c>
      <c r="C17" s="28" t="inlineStr">
        <is>
          <t>高于保守情景标准</t>
        </is>
      </c>
      <c r="D17" s="28" t="inlineStr">
        <is>
          <t>评估退出策略或附加减排条件</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ColWidth="9" defaultRowHeight="16.8"/>
  <cols>
    <col width="6" customWidth="1" min="1" max="1"/>
    <col width="20" customWidth="1" min="2" max="2"/>
    <col width="18" customWidth="1" min="3" max="3"/>
    <col width="14" customWidth="1" min="4" max="4"/>
    <col width="12" customWidth="1" min="5" max="5"/>
    <col width="14" customWidth="1" min="6" max="6"/>
    <col width="16" customWidth="1" min="7" max="7"/>
    <col width="22" customWidth="1" min="8" max="8"/>
  </cols>
  <sheetData>
    <row r="1" ht="20.4" customHeight="1">
      <c r="A1" s="1" t="inlineStr">
        <is>
          <t>水泥行业低碳技术汇总</t>
        </is>
      </c>
    </row>
    <row r="2">
      <c r="A2" s="19" t="inlineStr">
        <is>
          <t>数据来源：CBMA《中国水泥行业碳中和路径研究》(2023) 3.7节</t>
        </is>
      </c>
    </row>
    <row r="4" ht="31" customHeight="1">
      <c r="A4" s="2" t="inlineStr">
        <is>
          <t>序号</t>
        </is>
      </c>
      <c r="B4" s="2" t="inlineStr">
        <is>
          <t>技术路径</t>
        </is>
      </c>
      <c r="C4" s="2" t="inlineStr">
        <is>
          <t>关键技术</t>
        </is>
      </c>
      <c r="D4" s="2" t="inlineStr">
        <is>
          <t>减排潜力
(亿吨CO2/年)</t>
        </is>
      </c>
      <c r="E4" s="2" t="inlineStr">
        <is>
          <t>贡献度</t>
        </is>
      </c>
      <c r="F4" s="2" t="inlineStr">
        <is>
          <t>成熟度</t>
        </is>
      </c>
      <c r="G4" s="2" t="inlineStr">
        <is>
          <t>预计规模化
时间</t>
        </is>
      </c>
      <c r="H4" s="2" t="inlineStr">
        <is>
          <t>投资成本/减排成本</t>
        </is>
      </c>
    </row>
    <row r="5" ht="40" customHeight="1">
      <c r="A5" s="20" t="n">
        <v>1</v>
      </c>
      <c r="B5" s="21" t="inlineStr">
        <is>
          <t>产量下降减碳</t>
        </is>
      </c>
      <c r="C5" s="22" t="inlineStr">
        <is>
          <t>需求自然下降
落后产能退出</t>
        </is>
      </c>
      <c r="D5" s="16" t="n">
        <v>3.6</v>
      </c>
      <c r="E5" s="20" t="inlineStr">
        <is>
          <t>59.9%</t>
        </is>
      </c>
      <c r="F5" s="20" t="inlineStr">
        <is>
          <t>成熟</t>
        </is>
      </c>
      <c r="G5" s="20" t="inlineStr">
        <is>
          <t>2020-2030</t>
        </is>
      </c>
      <c r="H5" s="22" t="inlineStr">
        <is>
          <t>产能置换成本较低</t>
        </is>
      </c>
    </row>
    <row r="6" ht="40" customHeight="1">
      <c r="A6" s="20" t="n">
        <v>2</v>
      </c>
      <c r="B6" s="21" t="inlineStr">
        <is>
          <t>极致能效提升</t>
        </is>
      </c>
      <c r="C6" s="22" t="inlineStr">
        <is>
          <t>预热器/篦冷机升级
余热发电优化
数字化运营</t>
        </is>
      </c>
      <c r="D6" s="16" t="n">
        <v>0.5600000000000001</v>
      </c>
      <c r="E6" s="20" t="inlineStr">
        <is>
          <t>9.3%</t>
        </is>
      </c>
      <c r="F6" s="20" t="inlineStr">
        <is>
          <t>成熟</t>
        </is>
      </c>
      <c r="G6" s="20" t="inlineStr">
        <is>
          <t>2020-2030</t>
        </is>
      </c>
      <c r="H6" s="22" t="inlineStr">
        <is>
          <t>技改投资回收期3-5年</t>
        </is>
      </c>
    </row>
    <row r="7" ht="40" customHeight="1">
      <c r="A7" s="20" t="n">
        <v>3</v>
      </c>
      <c r="B7" s="21" t="inlineStr">
        <is>
          <t>替代燃料(TSR)</t>
        </is>
      </c>
      <c r="C7" s="22" t="inlineStr">
        <is>
          <t>固体废物燃料
生物质燃料
氢能/绿电</t>
        </is>
      </c>
      <c r="D7" s="16" t="n">
        <v>0.57</v>
      </c>
      <c r="E7" s="20" t="inlineStr">
        <is>
          <t>9.4%</t>
        </is>
      </c>
      <c r="F7" s="20" t="inlineStr">
        <is>
          <t>中短期成熟</t>
        </is>
      </c>
      <c r="G7" s="20" t="inlineStr">
        <is>
          <t>2025-2040</t>
        </is>
      </c>
      <c r="H7" s="22" t="inlineStr">
        <is>
          <t>RDF加工+储存成本
溢价90-480%</t>
        </is>
      </c>
    </row>
    <row r="8" ht="40" customHeight="1">
      <c r="A8" s="20" t="n">
        <v>4</v>
      </c>
      <c r="B8" s="21" t="inlineStr">
        <is>
          <t>低碳水泥</t>
        </is>
      </c>
      <c r="C8" s="22" t="inlineStr">
        <is>
          <t>高贝利特熟料
硫铝酸盐熟料
原料替代</t>
        </is>
      </c>
      <c r="D8" s="16" t="n">
        <v>0.19</v>
      </c>
      <c r="E8" s="20" t="inlineStr">
        <is>
          <t>3.1%</t>
        </is>
      </c>
      <c r="F8" s="20" t="inlineStr">
        <is>
          <t>示范阶段</t>
        </is>
      </c>
      <c r="G8" s="20" t="inlineStr">
        <is>
          <t>2030-2050</t>
        </is>
      </c>
      <c r="H8" s="22" t="inlineStr">
        <is>
          <t>新型水泥研发成本高</t>
        </is>
      </c>
    </row>
    <row r="9" ht="40" customHeight="1">
      <c r="A9" s="20" t="n">
        <v>5</v>
      </c>
      <c r="B9" s="21" t="inlineStr">
        <is>
          <t>CCUS</t>
        </is>
      </c>
      <c r="C9" s="22" t="inlineStr">
        <is>
          <t>化学吸收
钙循环
富氧燃烧
全氧燃烧</t>
        </is>
      </c>
      <c r="D9" s="16" t="n">
        <v>1.12</v>
      </c>
      <c r="E9" s="20" t="inlineStr">
        <is>
          <t>18.3%</t>
        </is>
      </c>
      <c r="F9" s="20" t="inlineStr">
        <is>
          <t>研发示范</t>
        </is>
      </c>
      <c r="G9" s="20" t="inlineStr">
        <is>
          <t>2035-2060</t>
        </is>
      </c>
      <c r="H9" s="22" t="inlineStr">
        <is>
          <t>捕集成本300-640元/tCO2
降至150-430元/t(2060)</t>
        </is>
      </c>
    </row>
    <row r="11">
      <c r="A11" s="23" t="inlineStr">
        <is>
          <t>CCUS技术发展路线图</t>
        </is>
      </c>
    </row>
    <row r="12">
      <c r="A12" s="2" t="inlineStr">
        <is>
          <t>指标</t>
        </is>
      </c>
      <c r="B12" s="2" t="inlineStr">
        <is>
          <t>2025</t>
        </is>
      </c>
      <c r="C12" s="2" t="inlineStr">
        <is>
          <t>2030</t>
        </is>
      </c>
      <c r="D12" s="2" t="inlineStr">
        <is>
          <t>2040</t>
        </is>
      </c>
      <c r="E12" s="2" t="inlineStr">
        <is>
          <t>2050</t>
        </is>
      </c>
      <c r="F12" s="2" t="inlineStr">
        <is>
          <t>2060</t>
        </is>
      </c>
    </row>
    <row r="13" ht="31" customHeight="1">
      <c r="A13" s="24" t="inlineStr">
        <is>
          <t>CO2捕集规模(万吨/年)</t>
        </is>
      </c>
      <c r="B13" s="20" t="inlineStr">
        <is>
          <t>300-600</t>
        </is>
      </c>
      <c r="C13" s="20" t="inlineStr">
        <is>
          <t>800-1100</t>
        </is>
      </c>
      <c r="D13" s="20" t="inlineStr">
        <is>
          <t>3500-4200</t>
        </is>
      </c>
      <c r="E13" s="20" t="inlineStr">
        <is>
          <t>12000-14000</t>
        </is>
      </c>
      <c r="F13" s="20" t="inlineStr">
        <is>
          <t>20000-25000</t>
        </is>
      </c>
    </row>
    <row r="14">
      <c r="A14" s="24" t="inlineStr">
        <is>
          <t>单体规模(万吨/年)</t>
        </is>
      </c>
      <c r="B14" s="20" t="inlineStr">
        <is>
          <t>10</t>
        </is>
      </c>
      <c r="C14" s="20" t="inlineStr">
        <is>
          <t>10-30</t>
        </is>
      </c>
      <c r="D14" s="20" t="inlineStr">
        <is>
          <t>30-50</t>
        </is>
      </c>
      <c r="E14" s="20" t="inlineStr">
        <is>
          <t>30-50</t>
        </is>
      </c>
      <c r="F14" s="20" t="inlineStr">
        <is>
          <t>50-100</t>
        </is>
      </c>
    </row>
    <row r="15">
      <c r="A15" s="24" t="inlineStr">
        <is>
          <t>成本(元/吨CO2)</t>
        </is>
      </c>
      <c r="B15" s="20" t="inlineStr">
        <is>
          <t>300-640</t>
        </is>
      </c>
      <c r="C15" s="20" t="inlineStr">
        <is>
          <t>220-580</t>
        </is>
      </c>
      <c r="D15" s="20" t="inlineStr">
        <is>
          <t>190-530</t>
        </is>
      </c>
      <c r="E15" s="20" t="inlineStr">
        <is>
          <t>170-480</t>
        </is>
      </c>
      <c r="F15" s="20" t="inlineStr">
        <is>
          <t>150-430</t>
        </is>
      </c>
    </row>
    <row r="16">
      <c r="A16" s="24" t="inlineStr">
        <is>
          <t>产值(亿元)</t>
        </is>
      </c>
      <c r="B16" s="20" t="inlineStr">
        <is>
          <t>50</t>
        </is>
      </c>
      <c r="C16" s="20" t="inlineStr">
        <is>
          <t>170-190</t>
        </is>
      </c>
      <c r="D16" s="20" t="inlineStr">
        <is>
          <t>280-320</t>
        </is>
      </c>
      <c r="E16" s="20" t="inlineStr">
        <is>
          <t>440-460</t>
        </is>
      </c>
      <c r="F16" s="20" t="inlineStr">
        <is>
          <t>990-1120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ColWidth="9" defaultRowHeight="16.8"/>
  <cols>
    <col width="8" customWidth="1" min="1" max="1"/>
    <col width="14" customWidth="1" min="2" max="8"/>
  </cols>
  <sheetData>
    <row r="1" ht="20.4" customHeight="1">
      <c r="A1" s="1" t="inlineStr">
        <is>
          <t>三情景碳强度路径可视化对比</t>
        </is>
      </c>
    </row>
    <row r="3" ht="31" customHeight="1">
      <c r="A3" s="2" t="inlineStr">
        <is>
          <t>年份</t>
        </is>
      </c>
      <c r="B3" s="2" t="inlineStr">
        <is>
          <t>保守情景</t>
        </is>
      </c>
      <c r="C3" s="2" t="inlineStr">
        <is>
          <t>适度情景(★)</t>
        </is>
      </c>
      <c r="D3" s="2" t="inlineStr">
        <is>
          <t>积极情景</t>
        </is>
      </c>
      <c r="E3" s="2" t="inlineStr">
        <is>
          <t>适度情景产量(参考)</t>
        </is>
      </c>
      <c r="F3" s="2" t="inlineStr">
        <is>
          <t>保守CO2(亿吨)</t>
        </is>
      </c>
      <c r="G3" s="2" t="inlineStr">
        <is>
          <t>适度CO2(亿吨)</t>
        </is>
      </c>
      <c r="H3" s="2" t="inlineStr">
        <is>
          <t>积极CO2(亿吨)</t>
        </is>
      </c>
    </row>
    <row r="4">
      <c r="A4" s="3" t="n">
        <v>2024</v>
      </c>
      <c r="B4" s="83" t="n">
        <v>0.59</v>
      </c>
      <c r="C4" s="83" t="n">
        <v>0.59</v>
      </c>
      <c r="D4" s="83" t="n">
        <v>0.59</v>
      </c>
      <c r="E4" s="82" t="n">
        <v>18.3</v>
      </c>
      <c r="F4" s="12" t="n">
        <v>10.8</v>
      </c>
      <c r="G4" s="12" t="n">
        <v>10.8</v>
      </c>
      <c r="H4" s="12" t="n">
        <v>10.8</v>
      </c>
    </row>
    <row r="5">
      <c r="A5" s="5" t="n">
        <v>2025</v>
      </c>
      <c r="B5" s="85" t="n">
        <v>0.587</v>
      </c>
      <c r="C5" s="85" t="n">
        <v>0.583</v>
      </c>
      <c r="D5" s="85" t="n">
        <v>0.579</v>
      </c>
      <c r="E5" s="84" t="n">
        <v>17.5</v>
      </c>
      <c r="F5" s="14" t="n">
        <v>10.33</v>
      </c>
      <c r="G5" s="14" t="n">
        <v>10.2</v>
      </c>
      <c r="H5" s="14" t="n">
        <v>10.07</v>
      </c>
    </row>
    <row r="6">
      <c r="A6" s="7" t="n">
        <v>2026</v>
      </c>
      <c r="B6" s="87" t="n">
        <v>0.584</v>
      </c>
      <c r="C6" s="87" t="n">
        <v>0.576</v>
      </c>
      <c r="D6" s="87" t="n">
        <v>0.5669999999999999</v>
      </c>
      <c r="E6" s="86" t="n">
        <v>16.7</v>
      </c>
      <c r="F6" s="16" t="n">
        <v>9.869999999999999</v>
      </c>
      <c r="G6" s="16" t="n">
        <v>9.619999999999999</v>
      </c>
      <c r="H6" s="16" t="n">
        <v>9.359999999999999</v>
      </c>
    </row>
    <row r="7">
      <c r="A7" s="5" t="n">
        <v>2027</v>
      </c>
      <c r="B7" s="85" t="n">
        <v>0.581</v>
      </c>
      <c r="C7" s="85" t="n">
        <v>0.569</v>
      </c>
      <c r="D7" s="85" t="n">
        <v>0.555</v>
      </c>
      <c r="E7" s="84" t="n">
        <v>15.9</v>
      </c>
      <c r="F7" s="14" t="n">
        <v>9.41</v>
      </c>
      <c r="G7" s="14" t="n">
        <v>9.050000000000001</v>
      </c>
      <c r="H7" s="14" t="n">
        <v>8.66</v>
      </c>
    </row>
    <row r="8">
      <c r="A8" s="7" t="n">
        <v>2028</v>
      </c>
      <c r="B8" s="87" t="n">
        <v>0.577</v>
      </c>
      <c r="C8" s="87" t="n">
        <v>0.5610000000000001</v>
      </c>
      <c r="D8" s="87" t="n">
        <v>0.544</v>
      </c>
      <c r="E8" s="86" t="n">
        <v>15</v>
      </c>
      <c r="F8" s="16" t="n">
        <v>9</v>
      </c>
      <c r="G8" s="16" t="n">
        <v>8.42</v>
      </c>
      <c r="H8" s="16" t="n">
        <v>7.94</v>
      </c>
    </row>
    <row r="9">
      <c r="A9" s="5" t="n">
        <v>2029</v>
      </c>
      <c r="B9" s="85" t="n">
        <v>0.574</v>
      </c>
      <c r="C9" s="85" t="n">
        <v>0.554</v>
      </c>
      <c r="D9" s="85" t="n">
        <v>0.532</v>
      </c>
      <c r="E9" s="84" t="n">
        <v>14.2</v>
      </c>
      <c r="F9" s="14" t="n">
        <v>8.550000000000001</v>
      </c>
      <c r="G9" s="14" t="n">
        <v>7.87</v>
      </c>
      <c r="H9" s="14" t="n">
        <v>7.29</v>
      </c>
    </row>
    <row r="10">
      <c r="A10" s="3" t="n">
        <v>2030</v>
      </c>
      <c r="B10" s="83" t="n">
        <v>0.571</v>
      </c>
      <c r="C10" s="83" t="n">
        <v>0.547</v>
      </c>
      <c r="D10" s="83" t="n">
        <v>0.521</v>
      </c>
      <c r="E10" s="82" t="n">
        <v>13.4</v>
      </c>
      <c r="F10" s="12" t="n">
        <v>8.109999999999999</v>
      </c>
      <c r="G10" s="12" t="n">
        <v>7.33</v>
      </c>
      <c r="H10" s="12" t="n">
        <v>6.67</v>
      </c>
    </row>
    <row r="11">
      <c r="A11" s="5" t="n">
        <v>2031</v>
      </c>
      <c r="B11" s="85" t="n">
        <v>0.5649999999999999</v>
      </c>
      <c r="C11" s="85" t="n">
        <v>0.537</v>
      </c>
      <c r="D11" s="85" t="n">
        <v>0.508</v>
      </c>
      <c r="E11" s="84" t="n">
        <v>13.3</v>
      </c>
      <c r="F11" s="14" t="n">
        <v>7.97</v>
      </c>
      <c r="G11" s="14" t="n">
        <v>7.14</v>
      </c>
      <c r="H11" s="14" t="n">
        <v>6.4</v>
      </c>
    </row>
    <row r="12">
      <c r="A12" s="7" t="n">
        <v>2032</v>
      </c>
      <c r="B12" s="87" t="n">
        <v>0.5590000000000001</v>
      </c>
      <c r="C12" s="87" t="n">
        <v>0.527</v>
      </c>
      <c r="D12" s="87" t="n">
        <v>0.494</v>
      </c>
      <c r="E12" s="86" t="n">
        <v>13.2</v>
      </c>
      <c r="F12" s="16" t="n">
        <v>7.83</v>
      </c>
      <c r="G12" s="16" t="n">
        <v>6.96</v>
      </c>
      <c r="H12" s="16" t="n">
        <v>6.13</v>
      </c>
    </row>
    <row r="13">
      <c r="A13" s="5" t="n">
        <v>2033</v>
      </c>
      <c r="B13" s="85" t="n">
        <v>0.552</v>
      </c>
      <c r="C13" s="85" t="n">
        <v>0.516</v>
      </c>
      <c r="D13" s="85" t="n">
        <v>0.481</v>
      </c>
      <c r="E13" s="84" t="n">
        <v>13.1</v>
      </c>
      <c r="F13" s="14" t="n">
        <v>7.73</v>
      </c>
      <c r="G13" s="14" t="n">
        <v>6.76</v>
      </c>
      <c r="H13" s="14" t="n">
        <v>5.87</v>
      </c>
    </row>
    <row r="14">
      <c r="A14" s="7" t="n">
        <v>2034</v>
      </c>
      <c r="B14" s="87" t="n">
        <v>0.546</v>
      </c>
      <c r="C14" s="87" t="n">
        <v>0.506</v>
      </c>
      <c r="D14" s="87" t="n">
        <v>0.467</v>
      </c>
      <c r="E14" s="86" t="n">
        <v>13</v>
      </c>
      <c r="F14" s="16" t="n">
        <v>7.59</v>
      </c>
      <c r="G14" s="16" t="n">
        <v>6.58</v>
      </c>
      <c r="H14" s="16" t="n">
        <v>5.6</v>
      </c>
    </row>
    <row r="15">
      <c r="A15" s="9" t="n">
        <v>2035</v>
      </c>
      <c r="B15" s="89" t="n">
        <v>0.54</v>
      </c>
      <c r="C15" s="89" t="n">
        <v>0.496</v>
      </c>
      <c r="D15" s="89" t="n">
        <v>0.454</v>
      </c>
      <c r="E15" s="88" t="n">
        <v>12.9</v>
      </c>
      <c r="F15" s="18" t="n">
        <v>7.45</v>
      </c>
      <c r="G15" s="18" t="n">
        <v>6.4</v>
      </c>
      <c r="H15" s="18" t="n">
        <v>5.36</v>
      </c>
    </row>
    <row r="16">
      <c r="A16" s="7" t="n">
        <v>2036</v>
      </c>
      <c r="B16" s="87" t="n">
        <v>0.532</v>
      </c>
      <c r="C16" s="87" t="n">
        <v>0.481</v>
      </c>
      <c r="D16" s="87" t="n">
        <v>0.433</v>
      </c>
      <c r="E16" s="86" t="n">
        <v>12.7</v>
      </c>
      <c r="F16" s="16" t="n">
        <v>7.24</v>
      </c>
      <c r="G16" s="16" t="n">
        <v>6.11</v>
      </c>
      <c r="H16" s="16" t="n">
        <v>4.98</v>
      </c>
    </row>
    <row r="17">
      <c r="A17" s="5" t="n">
        <v>2037</v>
      </c>
      <c r="B17" s="85" t="n">
        <v>0.524</v>
      </c>
      <c r="C17" s="85" t="n">
        <v>0.466</v>
      </c>
      <c r="D17" s="85" t="n">
        <v>0.412</v>
      </c>
      <c r="E17" s="84" t="n">
        <v>12.4</v>
      </c>
      <c r="F17" s="14" t="n">
        <v>7.02</v>
      </c>
      <c r="G17" s="14" t="n">
        <v>5.78</v>
      </c>
      <c r="H17" s="14" t="n">
        <v>4.66</v>
      </c>
    </row>
    <row r="18">
      <c r="A18" s="7" t="n">
        <v>2038</v>
      </c>
      <c r="B18" s="87" t="n">
        <v>0.516</v>
      </c>
      <c r="C18" s="87" t="n">
        <v>0.45</v>
      </c>
      <c r="D18" s="87" t="n">
        <v>0.392</v>
      </c>
      <c r="E18" s="86" t="n">
        <v>12.2</v>
      </c>
      <c r="F18" s="16" t="n">
        <v>6.81</v>
      </c>
      <c r="G18" s="16" t="n">
        <v>5.49</v>
      </c>
      <c r="H18" s="16" t="n">
        <v>4.31</v>
      </c>
    </row>
    <row r="19">
      <c r="A19" s="5" t="n">
        <v>2039</v>
      </c>
      <c r="B19" s="85" t="n">
        <v>0.508</v>
      </c>
      <c r="C19" s="85" t="n">
        <v>0.435</v>
      </c>
      <c r="D19" s="85" t="n">
        <v>0.371</v>
      </c>
      <c r="E19" s="84" t="n">
        <v>11.9</v>
      </c>
      <c r="F19" s="14" t="n">
        <v>6.6</v>
      </c>
      <c r="G19" s="14" t="n">
        <v>5.18</v>
      </c>
      <c r="H19" s="14" t="n">
        <v>4.01</v>
      </c>
    </row>
    <row r="20">
      <c r="A20" s="3" t="n">
        <v>2040</v>
      </c>
      <c r="B20" s="83" t="n">
        <v>0.5</v>
      </c>
      <c r="C20" s="83" t="n">
        <v>0.42</v>
      </c>
      <c r="D20" s="83" t="n">
        <v>0.35</v>
      </c>
      <c r="E20" s="82" t="n">
        <v>11.7</v>
      </c>
      <c r="F20" s="12" t="n">
        <v>6.4</v>
      </c>
      <c r="G20" s="12" t="n">
        <v>4.91</v>
      </c>
      <c r="H20" s="12" t="n">
        <v>3.67</v>
      </c>
    </row>
    <row r="21">
      <c r="A21" s="5" t="n">
        <v>2041</v>
      </c>
      <c r="B21" s="85" t="n">
        <v>0.484</v>
      </c>
      <c r="C21" s="85" t="n">
        <v>0.401</v>
      </c>
      <c r="D21" s="85" t="n">
        <v>0.333</v>
      </c>
      <c r="E21" s="84" t="n">
        <v>11.2</v>
      </c>
      <c r="F21" s="14" t="n">
        <v>5.9</v>
      </c>
      <c r="G21" s="14" t="n">
        <v>4.49</v>
      </c>
      <c r="H21" s="14" t="n">
        <v>3.33</v>
      </c>
    </row>
    <row r="22">
      <c r="A22" s="7" t="n">
        <v>2042</v>
      </c>
      <c r="B22" s="87" t="n">
        <v>0.468</v>
      </c>
      <c r="C22" s="87" t="n">
        <v>0.382</v>
      </c>
      <c r="D22" s="87" t="n">
        <v>0.316</v>
      </c>
      <c r="E22" s="86" t="n">
        <v>10.7</v>
      </c>
      <c r="F22" s="16" t="n">
        <v>5.48</v>
      </c>
      <c r="G22" s="16" t="n">
        <v>4.09</v>
      </c>
      <c r="H22" s="16" t="n">
        <v>3.03</v>
      </c>
    </row>
    <row r="23">
      <c r="A23" s="5" t="n">
        <v>2043</v>
      </c>
      <c r="B23" s="85" t="n">
        <v>0.452</v>
      </c>
      <c r="C23" s="85" t="n">
        <v>0.363</v>
      </c>
      <c r="D23" s="85" t="n">
        <v>0.299</v>
      </c>
      <c r="E23" s="84" t="n">
        <v>10.1</v>
      </c>
      <c r="F23" s="14" t="n">
        <v>5.02</v>
      </c>
      <c r="G23" s="14" t="n">
        <v>3.67</v>
      </c>
      <c r="H23" s="14" t="n">
        <v>2.72</v>
      </c>
    </row>
    <row r="24">
      <c r="A24" s="7" t="n">
        <v>2044</v>
      </c>
      <c r="B24" s="87" t="n">
        <v>0.436</v>
      </c>
      <c r="C24" s="87" t="n">
        <v>0.344</v>
      </c>
      <c r="D24" s="87" t="n">
        <v>0.282</v>
      </c>
      <c r="E24" s="86" t="n">
        <v>9.6</v>
      </c>
      <c r="F24" s="16" t="n">
        <v>4.62</v>
      </c>
      <c r="G24" s="16" t="n">
        <v>3.3</v>
      </c>
      <c r="H24" s="16" t="n">
        <v>2.43</v>
      </c>
    </row>
    <row r="25">
      <c r="A25" s="5" t="n">
        <v>2045</v>
      </c>
      <c r="B25" s="85" t="n">
        <v>0.42</v>
      </c>
      <c r="C25" s="85" t="n">
        <v>0.325</v>
      </c>
      <c r="D25" s="85" t="n">
        <v>0.265</v>
      </c>
      <c r="E25" s="84" t="n">
        <v>9.1</v>
      </c>
      <c r="F25" s="14" t="n">
        <v>4.2</v>
      </c>
      <c r="G25" s="14" t="n">
        <v>2.96</v>
      </c>
      <c r="H25" s="14" t="n">
        <v>2.17</v>
      </c>
    </row>
    <row r="26">
      <c r="A26" s="7" t="n">
        <v>2046</v>
      </c>
      <c r="B26" s="87" t="n">
        <v>0.404</v>
      </c>
      <c r="C26" s="87" t="n">
        <v>0.306</v>
      </c>
      <c r="D26" s="87" t="n">
        <v>0.248</v>
      </c>
      <c r="E26" s="86" t="n">
        <v>8.6</v>
      </c>
      <c r="F26" s="16" t="n">
        <v>3.8</v>
      </c>
      <c r="G26" s="16" t="n">
        <v>2.63</v>
      </c>
      <c r="H26" s="16" t="n">
        <v>1.91</v>
      </c>
    </row>
    <row r="27">
      <c r="A27" s="5" t="n">
        <v>2047</v>
      </c>
      <c r="B27" s="85" t="n">
        <v>0.388</v>
      </c>
      <c r="C27" s="85" t="n">
        <v>0.287</v>
      </c>
      <c r="D27" s="85" t="n">
        <v>0.231</v>
      </c>
      <c r="E27" s="84" t="n">
        <v>8.1</v>
      </c>
      <c r="F27" s="14" t="n">
        <v>3.45</v>
      </c>
      <c r="G27" s="14" t="n">
        <v>2.32</v>
      </c>
      <c r="H27" s="14" t="n">
        <v>1.66</v>
      </c>
    </row>
    <row r="28">
      <c r="A28" s="7" t="n">
        <v>2048</v>
      </c>
      <c r="B28" s="87" t="n">
        <v>0.372</v>
      </c>
      <c r="C28" s="87" t="n">
        <v>0.268</v>
      </c>
      <c r="D28" s="87" t="n">
        <v>0.214</v>
      </c>
      <c r="E28" s="86" t="n">
        <v>7.5</v>
      </c>
      <c r="F28" s="16" t="n">
        <v>3.09</v>
      </c>
      <c r="G28" s="16" t="n">
        <v>2.01</v>
      </c>
      <c r="H28" s="16" t="n">
        <v>1.43</v>
      </c>
    </row>
    <row r="29">
      <c r="A29" s="5" t="n">
        <v>2049</v>
      </c>
      <c r="B29" s="85" t="n">
        <v>0.356</v>
      </c>
      <c r="C29" s="85" t="n">
        <v>0.249</v>
      </c>
      <c r="D29" s="85" t="n">
        <v>0.197</v>
      </c>
      <c r="E29" s="84" t="n">
        <v>7</v>
      </c>
      <c r="F29" s="14" t="n">
        <v>2.78</v>
      </c>
      <c r="G29" s="14" t="n">
        <v>1.74</v>
      </c>
      <c r="H29" s="14" t="n">
        <v>1.24</v>
      </c>
    </row>
    <row r="30">
      <c r="A30" s="3" t="n">
        <v>2050</v>
      </c>
      <c r="B30" s="83" t="n">
        <v>0.34</v>
      </c>
      <c r="C30" s="83" t="n">
        <v>0.23</v>
      </c>
      <c r="D30" s="83" t="n">
        <v>0.18</v>
      </c>
      <c r="E30" s="82" t="n">
        <v>6.5</v>
      </c>
      <c r="F30" s="12" t="n">
        <v>2.45</v>
      </c>
      <c r="G30" s="12" t="n">
        <v>1.5</v>
      </c>
      <c r="H30" s="12" t="n">
        <v>1.04</v>
      </c>
    </row>
    <row r="31">
      <c r="A31" s="5" t="n">
        <v>2051</v>
      </c>
      <c r="B31" s="85" t="n">
        <v>0.316</v>
      </c>
      <c r="C31" s="85" t="n">
        <v>0.215</v>
      </c>
      <c r="D31" s="85" t="n">
        <v>0.167</v>
      </c>
      <c r="E31" s="84" t="n">
        <v>6.4</v>
      </c>
      <c r="F31" s="14" t="n">
        <v>2.24</v>
      </c>
      <c r="G31" s="14" t="n">
        <v>1.38</v>
      </c>
      <c r="H31" s="14" t="n">
        <v>0.95</v>
      </c>
    </row>
    <row r="32">
      <c r="A32" s="7" t="n">
        <v>2052</v>
      </c>
      <c r="B32" s="87" t="n">
        <v>0.291</v>
      </c>
      <c r="C32" s="87" t="n">
        <v>0.201</v>
      </c>
      <c r="D32" s="87" t="n">
        <v>0.154</v>
      </c>
      <c r="E32" s="86" t="n">
        <v>6.3</v>
      </c>
      <c r="F32" s="16" t="n">
        <v>2.04</v>
      </c>
      <c r="G32" s="16" t="n">
        <v>1.27</v>
      </c>
      <c r="H32" s="16" t="n">
        <v>0.86</v>
      </c>
    </row>
    <row r="33">
      <c r="A33" s="5" t="n">
        <v>2053</v>
      </c>
      <c r="B33" s="85" t="n">
        <v>0.267</v>
      </c>
      <c r="C33" s="85" t="n">
        <v>0.186</v>
      </c>
      <c r="D33" s="85" t="n">
        <v>0.141</v>
      </c>
      <c r="E33" s="84" t="n">
        <v>6.2</v>
      </c>
      <c r="F33" s="14" t="n">
        <v>1.82</v>
      </c>
      <c r="G33" s="14" t="n">
        <v>1.15</v>
      </c>
      <c r="H33" s="14" t="n">
        <v>0.78</v>
      </c>
    </row>
    <row r="34">
      <c r="A34" s="7" t="n">
        <v>2054</v>
      </c>
      <c r="B34" s="87" t="n">
        <v>0.242</v>
      </c>
      <c r="C34" s="87" t="n">
        <v>0.172</v>
      </c>
      <c r="D34" s="87" t="n">
        <v>0.128</v>
      </c>
      <c r="E34" s="86" t="n">
        <v>6.1</v>
      </c>
      <c r="F34" s="16" t="n">
        <v>1.62</v>
      </c>
      <c r="G34" s="16" t="n">
        <v>1.05</v>
      </c>
      <c r="H34" s="16" t="n">
        <v>0.6899999999999999</v>
      </c>
    </row>
    <row r="35">
      <c r="A35" s="5" t="n">
        <v>2055</v>
      </c>
      <c r="B35" s="85" t="n">
        <v>0.218</v>
      </c>
      <c r="C35" s="85" t="n">
        <v>0.158</v>
      </c>
      <c r="D35" s="85" t="n">
        <v>0.115</v>
      </c>
      <c r="E35" s="84" t="n">
        <v>6</v>
      </c>
      <c r="F35" s="14" t="n">
        <v>1.44</v>
      </c>
      <c r="G35" s="14" t="n">
        <v>0.95</v>
      </c>
      <c r="H35" s="14" t="n">
        <v>0.61</v>
      </c>
    </row>
    <row r="36">
      <c r="A36" s="7" t="n">
        <v>2056</v>
      </c>
      <c r="B36" s="87" t="n">
        <v>0.193</v>
      </c>
      <c r="C36" s="87" t="n">
        <v>0.143</v>
      </c>
      <c r="D36" s="87" t="n">
        <v>0.102</v>
      </c>
      <c r="E36" s="86" t="n">
        <v>5.9</v>
      </c>
      <c r="F36" s="16" t="n">
        <v>1.25</v>
      </c>
      <c r="G36" s="16" t="n">
        <v>0.84</v>
      </c>
      <c r="H36" s="16" t="n">
        <v>0.53</v>
      </c>
    </row>
    <row r="37">
      <c r="A37" s="5" t="n">
        <v>2057</v>
      </c>
      <c r="B37" s="85" t="n">
        <v>0.169</v>
      </c>
      <c r="C37" s="85" t="n">
        <v>0.129</v>
      </c>
      <c r="D37" s="85" t="n">
        <v>0.089</v>
      </c>
      <c r="E37" s="84" t="n">
        <v>5.8</v>
      </c>
      <c r="F37" s="14" t="n">
        <v>1.08</v>
      </c>
      <c r="G37" s="14" t="n">
        <v>0.75</v>
      </c>
      <c r="H37" s="14" t="n">
        <v>0.45</v>
      </c>
    </row>
    <row r="38">
      <c r="A38" s="7" t="n">
        <v>2058</v>
      </c>
      <c r="B38" s="87" t="n">
        <v>0.144</v>
      </c>
      <c r="C38" s="87" t="n">
        <v>0.114</v>
      </c>
      <c r="D38" s="87" t="n">
        <v>0.076</v>
      </c>
      <c r="E38" s="86" t="n">
        <v>5.7</v>
      </c>
      <c r="F38" s="16" t="n">
        <v>0.89</v>
      </c>
      <c r="G38" s="16" t="n">
        <v>0.65</v>
      </c>
      <c r="H38" s="16" t="n">
        <v>0.38</v>
      </c>
    </row>
    <row r="39">
      <c r="A39" s="5" t="n">
        <v>2059</v>
      </c>
      <c r="B39" s="85" t="n">
        <v>0.119</v>
      </c>
      <c r="C39" s="85" t="n">
        <v>0.099</v>
      </c>
      <c r="D39" s="85" t="n">
        <v>0.063</v>
      </c>
      <c r="E39" s="84" t="n">
        <v>5.6</v>
      </c>
      <c r="F39" s="14" t="n">
        <v>0.73</v>
      </c>
      <c r="G39" s="14" t="n">
        <v>0.55</v>
      </c>
      <c r="H39" s="14" t="n">
        <v>0.31</v>
      </c>
    </row>
    <row r="40">
      <c r="A40" s="3" t="n">
        <v>2060</v>
      </c>
      <c r="B40" s="83" t="n">
        <v>0.095</v>
      </c>
      <c r="C40" s="83" t="n">
        <v>0.08500000000000001</v>
      </c>
      <c r="D40" s="83" t="n">
        <v>0.05</v>
      </c>
      <c r="E40" s="82" t="n">
        <v>5.5</v>
      </c>
      <c r="F40" s="12" t="n">
        <v>0.57</v>
      </c>
      <c r="G40" s="12" t="n">
        <v>0.47</v>
      </c>
      <c r="H40" s="12" t="n">
        <v>0.24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2026-04-09T05:42:00Z</dcterms:created>
  <dcterms:modified xsi:type="dcterms:W3CDTF">2026-05-24T16:40:38Z</dcterms:modified>
  <cp:lastModifiedBy>Vic</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EEF7A9BEF6EC5EA348ECD569B1D9CDB1_42</vt:lpwstr>
  </property>
  <property name="KSOProductBuildVer" fmtid="{D5CDD505-2E9C-101B-9397-08002B2CF9AE}" pid="3">
    <vt:lpwstr>2052-6.13.1.8913</vt:lpwstr>
  </property>
</Properties>
</file>