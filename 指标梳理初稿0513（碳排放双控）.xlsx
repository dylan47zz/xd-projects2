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840" windowHeight="11540" firstSheet="1" activeTab="2"/>
  </bookViews>
  <sheets>
    <sheet name="框架对标原文底稿" sheetId="1" r:id="rId1"/>
    <sheet name="框架对标结果" sheetId="2" r:id="rId2"/>
    <sheet name="正向指标" sheetId="3" r:id="rId3"/>
    <sheet name="负向指标" sheetId="4" r:id="rId4"/>
    <sheet name="试评分" sheetId="5" r:id="rId5"/>
    <sheet name="空值处理统一逻辑说明" sheetId="6" r:id="rId6"/>
    <sheet name="初始权重设定说明" sheetId="7" r:id="rId7"/>
    <sheet name="权重调整机制" sheetId="8" r:id="rId8"/>
    <sheet name="定量指标统一打分范式"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IFS</author>
  </authors>
  <commentList>
    <comment ref="T20" authorId="0">
      <text>
        <r>
          <rPr>
            <sz val="10"/>
            <rFont val="宋体"/>
            <charset val="134"/>
          </rPr>
          <t>IFS:
碳排为总公司的直接排放和间接排放</t>
        </r>
      </text>
    </comment>
  </commentList>
</comments>
</file>

<file path=xl/sharedStrings.xml><?xml version="1.0" encoding="utf-8"?>
<sst xmlns="http://schemas.openxmlformats.org/spreadsheetml/2006/main" count="3273" uniqueCount="1560">
  <si>
    <t>一级指标</t>
  </si>
  <si>
    <t>二级指标</t>
  </si>
  <si>
    <t>三级指标</t>
  </si>
  <si>
    <t>关键字说明</t>
  </si>
  <si>
    <t>人民银行转型金融要求</t>
  </si>
  <si>
    <t>人民银行钢铁行业转型金融标准</t>
  </si>
  <si>
    <t>企业可持续披露准则第1号——气候（试行）</t>
  </si>
  <si>
    <t>《河北省钢铁行业转型金融工作指引（2025年版）》</t>
  </si>
  <si>
    <t>沪深北上市公司可持续披露指引</t>
  </si>
  <si>
    <t>工业和信息化部《钢铁行业规范条件（2025年版）》</t>
  </si>
  <si>
    <t>其他国内政策</t>
  </si>
  <si>
    <t xml:space="preserve"> IIGCC《净零投资框架1.0》</t>
  </si>
  <si>
    <t>ICMA气候转型债券指引（CTB）和气候转型融资手册（CTF）</t>
  </si>
  <si>
    <t>《TPI方法论报告：管理质量和碳绩效》第五版</t>
  </si>
  <si>
    <t>惠誉常青《转型评估方法：石油和天然气部门》</t>
  </si>
  <si>
    <t>《TCFD 指标、目标和转型计划指南》</t>
  </si>
  <si>
    <t>TPT《英国转型计划工作组的转型计划披露框架》</t>
  </si>
  <si>
    <t xml:space="preserve">SASB——《对可持续核算准则理事会（SASB）标准的修订（征求意见稿）》 </t>
  </si>
  <si>
    <t>GFANZ《金融机构净零转型计划框架》</t>
  </si>
  <si>
    <t>企业信息披露情况（宝山钢铁）</t>
  </si>
  <si>
    <t>企业信息披露情况（中信特钢）</t>
  </si>
  <si>
    <t>分析</t>
  </si>
  <si>
    <t>目标与战略</t>
  </si>
  <si>
    <t>目标和承诺</t>
  </si>
  <si>
    <t>碳中和目标</t>
  </si>
  <si>
    <t>企业承诺转型目标与国家碳达峰碳中和目标一致，服务于国家碳达峰碳中和目标；制定减排目标是指企业制定短期（如2024—2025年）、中期（2026—2030年）和长期（至2060年）的目标，且目标符合所在行业的先进性水平</t>
  </si>
  <si>
    <t>转型主体应当对照国家碳达峰碳中和目标，制定并披露科学合理的碳减排目标，主要内容和要求包括：（1）转型主体层面的碳达峰碳中和目标不得落后于国家碳达峰碳中和目标要求；（2）包括短期、中期和长期目标，以定量的碳排放总量或者单位产品碳排放强度表示。</t>
  </si>
  <si>
    <t>第四十一条 企业应当披露其为监控实现战略目标的进展而设定的定量和定性气候目标，以及国家法律法规、战略规划要求其实现的气候目标，包括温室气体排放目标</t>
  </si>
  <si>
    <t>一（一）2.有整体转型方案。方案应遵循以下原则：一是有科学合理的碳减排目标。目标要坚持显著贡献原则和一致性原则”，应将商业可持续与双碳目标有机结合，不得落后于国家碳达峰碳中和目标要求。短期目标要以定量的碳排放强度表示，中、长期目标要兼顾碳排放总量。</t>
  </si>
  <si>
    <t xml:space="preserve">
1. 根据法律义务、信托义务和行业最佳实践（如TCFD和ISSB）；
2.承诺到2050年或更早实现投资组合净零排放，并获得董事会的明确认可；
</t>
  </si>
  <si>
    <t>CTF：要素1.发行人的气候转型战略和治理：推荐信息和指标： • 长期、以科学为基础的目标，以符合《巴黎协定》的目标； 
CTB：高排放SLBs发行人应根据具体行业和本地情况选择KPI，并设定具有雄心的SPT，基于多种基准方法的结合，例如历史和经外部验证的数据、同行选择的数据以及行业或部门标准，融入公认的“最佳可用技术”（BAT）或其他行业/部门的替代指标。目标至少应与官方国家/地区/国际目标保持一致，并在可能的情况下，力求超越这些水平。</t>
  </si>
  <si>
    <t>企业设定了温室气体减排目标，目标可能是以定量或非定量形式，可能覆盖范围1和范围2和/或范围3温室气体排放。
企业以相对或绝对方式设定了温室气体减排的定量目标（范围1和范围2和/或范围3）。</t>
  </si>
  <si>
    <t xml:space="preserve">（钢铁）对于2050目标从排放量、排放强度进行了等级划分：
（1）有针对性地减少范围1和范围2的绝对排放量：按照企业是否有目标与数据及其详细程度（有无、详细程度），分6个评分阈值（0-5）进行评价；
（2）有目标地减少范围3的绝对排放量:按照企业是否有目标与数据及其详细程度（有无、详细程度），分6个评分阈值（0-5）进行评价；
（3）有针对性地减少范围1和范围2排放强度:按照企业是否有目标与数据及其详细程度（有无、详细程度），分6个评分阈值（0-5）进行评价；
</t>
  </si>
  <si>
    <t>（1）与战略保持一致：组织的转型计划与其整体战略保持一致，并且描述了下列内容：
 举措——组织将如何在规定的时间范围内实现目标。
 温控目标——与全球升温目标、相关监管要求和/或部门脱碳战略保持一致。</t>
  </si>
  <si>
    <t>1.1 战略愿景
主体应当披露其转型计划中的战略愿景。这包括主体在向低温室气体排放、气候韧性经济转型过程中，为响应并推动转型而设定的目标与优先事项，同时说明主体将如何以把握机遇、避免对利益相关方和社会造成不利影响、保护自然环境的方式来追求这些目标和优先事项。
披露建议
作为此部分的内容，主体应当披露：
a. 其目标与优先事项：
i. 旨在减少其运营或价值链中范围 1、范围 2 和范围 3 温室气体排放的目标与优先事项
ii. 旨在增强其对气候变化的适应能力，并应对向低温室气体排放、气候韧性经济转型所带来的风险与机遇的目标与优先事项
iii. 旨在利用其可用的杠杆与能力，嵌入并加速向低温室气体排放、气候韧性经济转型的目标与优先事项
b. 其是否以及如何识别、评估并考量转型计划对利益相关方（如员工、价值链合作伙伴、客户、社会（如当地社区）、经济和自然环境）的影响与依赖关系，以及这些影响与依赖关系在整个价值链中可能引发的可持续性相关风险与机遇
c. 其在多大程度上考量并遵循了外部要求、承诺、基于科学的目标、转型路径、路线图或情景，其中可能包括：
i. 政府做出的国家或国际承诺
ii. 法律或法规要求其达成的任何目标
iii. 行业路径、路线图或其他气候情景
iv. 自愿性承诺（例如，现有的公开承诺、组织和行业标准、合同关系、行为准则等）
d. 在 1.1a 的目标与优先事项之间识别出的任何潜在权衡、协同效应或共同效益
e. 其为衡量进展而设定的任何短期、中期和长期目标及里程碑，包括在转型规划背景下如何定义短期、中期和长期</t>
  </si>
  <si>
    <t xml:space="preserve">主体应当披露其管理范围 1 温室气体（GHG）排放的长期与短期战略或计划，包括减排目标，以及针对这些目标的绩效分析。
1.1 目标披露  1.2 目标设定与监控  1.3 绩效分析
</t>
  </si>
  <si>
    <t xml:space="preserve">目标与优先事项
目标，即在 2050 年或更早实现净零排放，该目标需符合基于科学的路径，以将升温限制在 1.5℃以内。明确界定可衡量的中期和长期目标与战略时间线，为推动实体经济减排而需采取的净零转型融资优先战略。 
・为 2050 年净零目标制定的短期、中期和长期战略愿景、承诺及实现路径
</t>
  </si>
  <si>
    <t>来源：24年可持续发展报告
制定了中长期减碳目标，以2020年为基准年，2025年减碳8%，2035年力争减碳30%，2050年力争实现碳中和。
2035年力争减碳30%脚注：以公司运营范围为边界，包括范围一和范围二</t>
  </si>
  <si>
    <t>来源：24年可持续发展报告
2060 年前实现“碳中和”的目标</t>
  </si>
  <si>
    <t>碳达峰、碳中和目标属于企业转型战略层面的核心承诺指标，能够直接反映企业对国家“双碳”政策目标的响应程度及其长期转型方向。相关目标在政策框架中具有明确定位，且上市钢铁企业普遍存在定性或定量披露，具备较好的可比性与可得性，建议作为目标与战略维度的基础性指标予以保留。</t>
  </si>
  <si>
    <t>碳达峰目标</t>
  </si>
  <si>
    <t>4. 脱碳计划：一套量化的措施，通过减少温室气体和增加相关的绿色收入来实现中短期科学目标；
6. 目标：减少温室气体排放的短期和中期科学目标；
7. 雄心：2050年的长期目标与实现全球净零排放相一致。
6. 雄心：2050年的长期目标与实现全球净零排放目标一致，以及与之一致的中期目标（国家自主贡献绝对排放目标）。</t>
  </si>
  <si>
    <t>CTF：要素1.发行人的气候转型战略和治理：推荐信息和指标： • 与长期目标发展轨迹相关的短期和中期科学基础的中间目标，符合相关区域、行业或国际气候变化情景。
CTB：高排放SLBs发行人应根据具体行业和本地情况选择KPI，并设定具有雄心的SPT，基于多种基准方法的结合，例如历史和经外部验证的数据、同行选择的数据以及行业或部门标准，融入公认的“最佳可用技术”（BAT）或其他行业/部门的替代指标。目标至少应与官方国家/地区/国际目标保持一致，并在可能的情况下，力求超越这些水平。</t>
  </si>
  <si>
    <t>企业以相对或绝对的形式设定了定量且长期（超过5年）的减排目标（范围1和范围2和/或范围3）。</t>
  </si>
  <si>
    <t xml:space="preserve">（钢铁）对于2030目标从排放量、排放强度进行了等级划分：
（1）有针对性地减少范围1和范围2的绝对排放量：按照企业是否有目标与数据及其详细程度（有无、详细程度），分6个评分阈值（0-5）进行评价；
（2）有目标地减少范围3的绝对排放量:按照企业是否有目标与数据及其详细程度（有无、详细程度），分6个评分阈值（0-5）进行评价；
（3）有针对性地减少范围1和范围2排放强度:按照企业是否有目标与数据及其详细程度（有无、详细程度），分6个评分阈值（0-5）进行评价；
</t>
  </si>
  <si>
    <t xml:space="preserve">（2）目标：制定基于科学的定量和定性目标。对于温室气体排放目标而言，明确温室气体排放类型和范围，以及跨地区、时间范围或活动的温室气体排放程度。
</t>
  </si>
  <si>
    <t>4. 指标与目标
4.3 温室气体指标与目标
主体应当披露其为推动和监控转型计划战略愿景进展所使用的温室气体排放与清除指标及目标，并至少每年针对这些指标和目标进行一次报告。
披露建议……</t>
  </si>
  <si>
    <t xml:space="preserve">绩效分析的详细要求
主体应当讨论其减排目标，并分析针对这些目标的绩效表现，包括（如适用）：
2.1 减排目标的范围（例如，目标所覆盖的总排放量占比）
2.2 目标类型：说明目标是绝对目标还是强度目标；若为强度目标，需披露指标分母
2.3 基准年减排比例：说明相对于基准年的减排百分比，基准年是评估目标达成情况的起始年份
2.4 减排时间线：包括起始年、目标年和基准年
2.5 目标达成机制
</t>
  </si>
  <si>
    <t>1) 指标与目标 建立一套指标与目标，以推动净零转型计划的执行，并监控短期、中期和长期的成果进展。包括专注于：1）使金融活动与实体经济净零转型保持一致；2）执行转型计划；3）衡量客户与投资组合温室气体排放变化的指标与目标。 
・明确定义将跨类别追踪的指标：实体经济转型（通过四大融资策略）、计划执行、已融资排放，包括每项的范围与覆盖度
・定量与定性的中期和最终目标
・基准线、当前及预计的已融资温室气体足迹，包括范围 1、2 和 3 排放，以及排放中和里程碑，说明如何计划在 2050 年前通过高质量、永久性清除来最终中和任何剩余排放
・假设的方法论与范围，概述目标所依据的相关科学
・为目标背景提供信息的重大决策或选择
・针对明确的投资组合一致性指标的进展
・对碳信用使用与质量的监控指标
・指标与目标的复核及更新频率，以及过往更新记录
・在实体经济转型与已融资排放中使用行业路径设定目标</t>
  </si>
  <si>
    <t>来源：公开信息
该公司发布的《2030年前碳达峰行动方案》</t>
  </si>
  <si>
    <t>来源：24年可持续发展报告
2030 年前实现“碳达峰”，2030 年前吨钢碳排放强度较基准年（2021 年）下降 5%。到 2035 年具备降碳 20% 的技术能力。</t>
  </si>
  <si>
    <t>碳达峰目标作为企业转型承诺的具体节点，能够反映企业是否将减排承诺与国家政策时间表对齐，在政策框架中与碳中和目标共同构成转型目标体系的基础层。建议与碳中和目标合并评价，综合反映企业在分阶段减排目标设置上的完整性与科学性。</t>
  </si>
  <si>
    <t>其他环境目标</t>
  </si>
  <si>
    <t>指除碳达峰 / 碳中和目标之外，用于支撑低碳转型路径落地的能效、资源、污染与过程优化类目标。
可识别目标类型包括但不限于：
1. 能效提升（如吨钢综合能耗下降）
2. 能源结构优化（如清洁电力占比、余热利用）
3. 污染物减排（SO₂ / NOx / PM / VOCs）
4. 水资源管理（吨钢取水量、回用率）
5. 资源循环与废弃物（废钢比、固废利用率）
6. 工艺与流程优化（短流程占比、关键工序效率）</t>
  </si>
  <si>
    <t>无重大损害原则：转型金融支持的经济活动或企业，应当对污染防控、资源节约和生态保护等其他环境目标无重大损害</t>
  </si>
  <si>
    <t>第四十条 企业应当披露与特定业务模式、活动或者表明企业所处行业的其他共同特征相关的行业特定指标。企业在确定披露的行业特定指标时，应当充分考虑相关法律法规和政策的要求（如行业应用指南），以及行业内其他企业的披露惯例。</t>
  </si>
  <si>
    <t>第三十条（污染防治）、第三十五条（能源利用）、第三十六条（水资源利用）、第三十七条（循环经济）等条款要求披露相关目标、措施及成效。</t>
  </si>
  <si>
    <t>1. 为能源投资和森林砍伐政策制定明确的指令，并适当披露这些指令；</t>
  </si>
  <si>
    <t>如果企业制定关于气候变化政策或承诺陈述，承诺会解决相关问题，或减少或避免气候变化的影响（如减少碳排放或提高能源效率）</t>
  </si>
  <si>
    <t xml:space="preserve">4. 指标与目标
4.1 治理、业务与运营指标及目标
主体应当披露其为推动和监控转型计划战略愿景进展所使用的治理、参与、业务与运营指标及目标，并至少每年针对这些指标和目标进行一次报告。
披露建议……
4.2 财务指标与目标
主体应当披露与其业务、行业及战略相关的财务指标与目标，这些指标和目标用于推动和监控转型计划战略愿景的进展，并至少每年针对这些指标和目标进行一次报告。
披露建议……
</t>
  </si>
  <si>
    <t xml:space="preserve">来源：24年可持续发展报告
吨钢综合能耗、污染物减排、能源结构优化、水资源管理、资源循环与废弃物、工艺与流程优化
</t>
  </si>
  <si>
    <t>来源：24年可持续发展报告
能源管理目标（吨钢综合能耗、能源消费用量、绿电装机容量）</t>
  </si>
  <si>
    <t>其他环境目标（如能效提升、污染物减排、水资源管理等）虽与低碳转型并非直接关联，但在主要转型金融、气候政策及行业转型路径框架中，通常以协同目标、约束条件或补充要求的形式出现，可辅助反映企业的环境治理水平和综合可持续发展能力。因此暂作为可选指标纳入转型绩效评价体系，用于补充说明企业的综合环境表现。</t>
  </si>
  <si>
    <t>战略和规划</t>
  </si>
  <si>
    <t>转型规划</t>
  </si>
  <si>
    <t>企业制定明确的转型路线图、行动方案或分阶段规划</t>
  </si>
  <si>
    <t>转型主体应当制定并披露技术可行的转型计划，主要内容和要求包括：（1）对照短、中、长期碳减排目标，明确每个阶段的转型技术路径，该技术路径应当具有可行性和先进性；（2）明确每个阶段的工作计划及重点工作任务；（3）测算每个阶段转型工作的碳减排效果。</t>
  </si>
  <si>
    <t>第十二条（四）企业已有的气候转型计划，包括制定转型计划时使用的关键假设和依据。</t>
  </si>
  <si>
    <t>一（一）2.有整体转型方案。方案应遵循以下原则：二是有清晰可行的技术路径。技术路径应当具有可行性，要遵循先进性原则、无重大损害原则和避免“碳锁定”原则'。</t>
  </si>
  <si>
    <t>第二十三条 披露主体应当披露为应对气候相关风险和机遇的转型计划、措施及其进展，包括但不限于下列内容：
（一）公司为应对气候相关风险和机遇而对当前和未来战略、商业模式和资源分配进行调整的情况；（二）公司已经或者计划为直接或间接应对气候相关风险和机遇所采取的改进生产工艺、更新设备等措施；（三）公司为应对气候相关风险和机遇所制定的转型计划，及制定该计划所依赖的基本假设；（四）公司为实施转型计划提供的资源；（五）公司实施转型计划的进展情况。</t>
  </si>
  <si>
    <t xml:space="preserve">治理和战略：
5. 转型计划的实施；
7. 将转型计划纳入投资和投资组合经理的任务和目标；
4. 审查转型计划中假设和依赖性的影响，包括假设未实现时的影响；
6. 更新将影响转型计划有效性的支持性财务计划、预算和相关财务目标。
</t>
  </si>
  <si>
    <t>CTF：要素1.发行人的气候转型战略和治理：气候过渡主要关注发行人减排温室气体（GHG）策略、承诺和实践的可信度。气候转型策略应清晰传达并提供详细信息，说明发行人打算如何随着时间调整其商业模式以实现《巴黎协定》的目标。
CTB：发行人需满足以下要求：
制定发行人层面的可持续发展和/或转型战略，合格气候转型项目须对该战略形成支撑，且相关披露文件应尽量与《气候转型金融手册》四大核心要素保持一致；
若气候转型项目与化石燃料基础设施或活动存在重大关联，且未被涵盖入前述分类目录、脱碳路径与路线图或政策框架，则还可以具备以下内容：活动/资产层面的转型计划； 承诺在符合可验证情景的时间框架内，退役/逐步淘汰相关资产，或转向低碳替代方案；关于前瞻性指标的年度报告，包括关键里程碑、最后期限及其外部核验情况；</t>
  </si>
  <si>
    <t xml:space="preserve">企业阐述在转型计划中为达到中长期目标所使用的抵消和/或负排放技术的种类及作用。
企业明确承诺有时限地逐步淘汰对碳密集型资产或产品的投资（而不是只包括提取现有资产的承诺。
1.5摄氏度 与《巴黎协定》的总体目标一致，即“与工业化前水平相比，将全球平均气温升幅控制在低于2°C的水平，并努力将气温升幅限制1.5°C”。
该场景与将全球平均气温上升限制在1.5°C，可能性为50%的碳预算一致。
低于2摄氏度 符合《巴黎协定》限制全球变暖的总体目标，尽管处于目标范围的中间。
该场景与将全球平均气温上升限制在1.65°C，可能性为50%的碳预算一致。
国家承诺 建立在国际能源署2020年既定政策情景的基础上，该情景考虑了至少到2020年年中已经实施或正在制定的政策，具体取决于行业；
目前这一总量不足以使世界走上将升温限制在2°C的道路。
该场景与将全球平均气温上升限制在2100年的2.6°C，可能性为50%的碳预算一致。
</t>
  </si>
  <si>
    <t xml:space="preserve">早期转型 ・2050 年目标：削减范围 1 和 2 绝对排放量（指标 1.1）
・2030 年目标：削减范围 1 和 2 绝对排放量（指标 1.4）
进展中转型 满足早期转型所有前提条件，且：
・2050 年目标：实质性削减（至少）范围 1 和 2 排放量（指标 1.1）
・目标：削减范围 3 绝对排放量（到 2030 年和 2050 年）或削减排放强度（到 2030 年和 2050 年）（指标 1.2、1.5 或 1.3、1.6）
・承诺将年度投资的一部分用于转型（指标 3.3）
充分转型 满足进展中转型所有前提条件，且：
・目标：到 2050 年范围 1 和 2 实现净零，并设定可量化且具雄心的范围 3 减排目标（指标 1.1、1.2、1.3）
・短期内展示范围 1 和 2 减排进展（指标 2.4）
・展示转型收入进展（至少部分收入来自转型活动或产品）（指标 3.5 或 3.6）
先进转型 满足充分转型所有前提条件，且：
・将年度转型投资的实质性部分投向绿色活动、服务或产品（指标 3.3、3.4）
・展示进一步转型进展（至少部分收入来自绿色活动或产品）（指标 3.6）
・目标：到 2050 年所有范围实现净零，且可信的愿景覆盖相关实质性边界（指标 1.1、1.2、1.3）
・展示所有范围的减排进展（指标 2.1、2.2、2.3、2.4、2.5、2.6）
转型领导者 满足先进转型所有前提条件，且：
・将年度投资的绝大部分投向绿色活动、服务或产品（指标 3.3、3.4）
・展示实质性转型进展（收入中很大一部分来自绿色活动或产品）（指标 3.6）
・实现所有范围的深度减排（指标 2.1、2.2、2.3、2.4、2.5、2.6）
</t>
  </si>
  <si>
    <t>（4）日期：转型计划规定了计划达成的目标，包括在计划的时间范围内应达成的目标（例如，计划时间路线图）。
（2）计划假设：转型计划中描述相关假设，尤其是围绕转型路径的不确定性和实施挑战的假设。这些假设应该与组织财务情况、资本支出和投资决策方面使用的假设保持一致。
（4）行动计划：概述短期和中期战略和行动计划，并描述相关行动如何解决温室气体排放，包括减少气候相关风险和增加气候相关机遇的计划举措。
（5）财务计划：转型计划描述了支持性财务计划、预算和相关财务目标（例如，支持脱碳战略的资本和其他支出金额）。</t>
  </si>
  <si>
    <t xml:space="preserve">1.1 战略愿景
主体应当披露其转型计划中的战略愿景。这包括主体在向低温室气体排放、气候韧性经济转型过程中，为响应并推动转型而设定的目标与优先事项，同时说明主体将如何以把握机遇、避免对利益相关方和社会造成不利影响、保护自然环境的方式来追求这些目标和优先事项。
披露建议
作为此部分的内容，主体应当披露：
a. 其目标与优先事项：
i. 旨在减少其运营或价值链中范围 1、范围 2 和范围 3 温室气体排放的目标与优先事项
ii. 旨在增强其对气候变化的适应能力，并应对向低温室气体排放、气候韧性经济转型所带来的风险与机遇的目标与优先事项
iii. 旨在利用其可用的杠杆与能力，嵌入并加速向低温室气体排放、气候韧性经济转型的目标与优先事项
b. 其是否以及如何识别、评估并考量转型计划对利益相关方（如员工、价值链合作伙伴、客户、社会（如当地社区）、经济和自然环境）的影响与依赖关系，以及这些影响与依赖关系在整个价值链中可能引发的可持续性相关风险与机遇
c. 其在多大程度上考量并遵循了外部要求、承诺、基于科学的目标、转型路径、路线图或情景，
1.2 商业模式与价值链
主体应当披露其战略愿景对当前及预期商业模式与价值链的影响描述。
披露建议
作为此部分的内容，主体应当披露：
a. 其商业模式与价值链当前及预期的战略变化概览（详见第 2 部分《实施策略》和第 3 部分《参与策略》）
b. 预期发生这些变化的时间范围
1.3 关键假设与外部因素
主体应当披露其为实现转型计划的战略愿景所做出的关键假设，以及所依赖的外部因素。
</t>
  </si>
  <si>
    <t>3 主体应当披露：为实现其计划或目标所需的活动与投资，以及任何可能影响这些计划或目标达成的风险或限制因素。
4 主体应当讨论：其战略、计划或减排目标的适用范围，例如这些目标是否针对不同业务单元、地区或排放源而有所差异。
5 主体应当讨论：其战略、计划或减排目标是否与限排或排放报告计划 / 法规相关联，例如欧盟排放交易体系（EU ETS）、魁北克总量控制与交易体系、加州总量控制与交易计划，包括地区、国家、国际或州级层面的相关计划。
6 战略、计划或减排目标的披露范围：应仅限于报告期内正在进行（活跃）或已完成的活动。</t>
  </si>
  <si>
    <t>活动和决策过程
将金融机构的净零目标与优先事项嵌入其核心评估与决策工具及流程中，以支持其净零承诺。这适用于自上而下的监督架构与自下而上的工具与行动。
・描述转型战略如何嵌入决策流程、工具与政策中
・核心决策流程的重大变化摘要
・为决策流程变化提供背景的重大事件或决策</t>
  </si>
  <si>
    <t>来源：24年可持续发展报告
中国宝武和宝钢股份碳中和技术路线图</t>
  </si>
  <si>
    <t>来源：2024年可持续发展报告
中信泰富特钢碳中和路径：绿色技术、绿色产品、绿色协同
公司为实现经济增长与能源资源使用高质量均衡发展，制定了于 2030 年前实现“碳达峰”，2060 年前实现“碳中和”的目标，
并设立了阶段性计划......</t>
  </si>
  <si>
    <t>转型规划能够体现企业是否将低碳转型系统性地纳入中长期发展战略，是目标向实施转化的重要承接环节，也是国内外主流政策框架中的普遍要求。企业通常能够披露转型路线图、阶段性目标及主要行动措施，具备一定的评价区分度，建议作为核心指标予以保留。</t>
  </si>
  <si>
    <t>其他战略</t>
  </si>
  <si>
    <t>企业如尚未制定专门的转型规划，是否已建立低碳与可持续发展相关的其他制度与行动框架</t>
  </si>
  <si>
    <t>第十二条 披露主体应当建立健全公司治理结构和内部制度，确保公司相关内部机构具备足够的专业能力并有效履行可持续发展相关影响、风险和机遇的识别、评估、管理、监督等职能。
第十五条 披露主体应当披露可持续发展相关影响、风险和机遇对公司战略和决策的影响。</t>
  </si>
  <si>
    <t xml:space="preserve">
</t>
  </si>
  <si>
    <t>政策和条件
制定行业政策：针对动力煤、石油和天然气，以及森林砍伐等高优先级行业制定政策和条件；覆盖其他高排放或对气候有害的行业，以符合机构的净零目标和优先事项</t>
  </si>
  <si>
    <t>来源：2024年可持续发展报告
绿色低碳三年行动计划（2023—2025 年）</t>
  </si>
  <si>
    <t>"其他战略"口径相对宽泛，主要用于覆盖尚未制定专项转型规划的企业是否已建立相关低碳治理与行动框架，发挥一定的补偿作用。建议将该指标的评分权重设置低于"转型规划"，以强化对明确指向低碳转型的专项规划的评价重心。亦可视后续企业评分取样情况，决定是否作为可选指标纳入体系。</t>
  </si>
  <si>
    <t>实施举措与保障</t>
  </si>
  <si>
    <t xml:space="preserve">转型举措
</t>
  </si>
  <si>
    <t>自身减排措施</t>
  </si>
  <si>
    <t>企业为实现低碳转型与应对气候变化，当前已实施或计划实施的关键减排与转型措施，包括发生在企业自身运营与资产层面的直接措施。</t>
  </si>
  <si>
    <t>转型主体应当制定并披露技术可行的转型计划，主要内容和要求包括：(1)对照短、中、长期碳减排目标，明确每个阶段的转型技术路径，该技术路径应当具有可行性和先进性；
(2)明确每个阶段的工作计划及重点工作任务；</t>
  </si>
  <si>
    <t>第十二条（二）当前和计划采取的用于减缓和适应气候变化的直接措施（如节能产品认证、碳标识认证，改变生产工艺或者设备、搬迁设施、调整劳动力结构以及改变产品规格等）。</t>
  </si>
  <si>
    <t>第二十七条 披露主体应当披露温室气体减排实践的相关信息，包括参与各项减排机制的情况、减排目标、减排措施（如管理措施、资金投入、技术开发等）及其成效等。</t>
  </si>
  <si>
    <t xml:space="preserve">
3. 将净零目标与标准指标一起纳入投资组合建设。理想情况下，额外的调整目标应涵盖脱碳和气候解决方案；
5. 监测调整目标的实现情况，包括组合碳强度和气候解决方案的分配情况；
</t>
  </si>
  <si>
    <t>问题19：企业是否将减排战略和为达到标所采取的行动的影响进行量化？ 企业量化了减排战略的关键因素，包括范围3排放，并且披露每一项行动的量化贡献，即该行动将占温室气体总目标的大致比例。</t>
  </si>
  <si>
    <t>钢铁行业调整系数说明——钢（条目3）：若主体用相对新的（&lt;25 年）的高炉 - 转炉（BF-BOF）产能替换为废钢基电弧炉（EAF）产能，加 1 分，采用正向修正。
钢铁行业调整系数说明——钢（条目4）：若主体投资新建无碳捕集的高炉 - 转炉（BF-BOF）产能，采用否定性修饰语。
钢铁行业调整系数说明——钢（条目5）：若减排量中使用抵消额度占比超过 10%，采用否定性修饰语。</t>
  </si>
  <si>
    <t xml:space="preserve">
</t>
  </si>
  <si>
    <t>2. 实施策略
2.1 业务运营
主体应当披露其为实现转型计划的战略愿景，在业务运营中已采取或计划采取的短期、中期和长期行动相关信息。
披露建议
作为此部分的内容，主体应当披露：
a. 当前及预期行动的相关信息（包括时间线），涉及以下事项：
i. 生产流程或设备
ii. 劳动力调整
iii. 供应链与采购
b. 与主体设施及其他实物资产相关的当前及预期变化，例如：
i. 办公场所与运营地点
ii. 温室气体高排放资产的负责任退役或逐步淘汰
iii. 应对气候变化风险所涉及的资产管理
iv. 向低温室气体排放、气候韧性经济转型过程中可能受影响的长期资产管理
c. 各项行动对实现其战略愿景的预期主要贡献
2.2 产品与服务
主体应当披露其为实现转型计划的战略愿景，已采取或计划采取的短期、中期和长期行动相关信息，以改变其产品与服务组合。
披露建议
作为此部分的内容，主体应当披露：
a. 当前及预期行动的相关信息（包括时间线），以改变其提供或促成的产品与服务组合（例如，通过特许经营、融资或承保活动）
b. 用于对此部分下的产品与服务进行分类的任何基础分类体系、工具、方法或定义
c. 各项行动对实现其战略愿景的预期主要贡献</t>
  </si>
  <si>
    <t>产品及服务
利用现有及新产品与服务，支持并提升客户与投资组合公司的转型努力，使其符合 1.5℃净零排放路径。包括加速并扩大实体经济中的净零转型，提供转型相关的教育与建议，并按照机构的净零转型战略支持投资组合脱碳。
・描述转型战略如何嵌入产品与服务设计中，以最大化机遇
・与转型目标一致的产品与服务摘要
・核心产品与服务的任何重大变化摘要</t>
  </si>
  <si>
    <t>来源：24年可持续发展报告</t>
  </si>
  <si>
    <t>前期设置"自身减排措施"和"供应链减排措施"两个指标，希望从企业内部运营和外部供应链两个维度分别评价具体减排行动。但在实际梳理企业报告的过程中发现，上述指标内容与"转型规划"及"转型表现"存在较大内容重叠，独立设置将导致评价体系冗余。因此，建议将相关内容统一整合至"转型规划"指标中，通过综合评价系统呈现企业在自身运营和供应链层面的减排措施，以提高指标体系的简洁性与内部一致性。</t>
  </si>
  <si>
    <t>供应链减排措施</t>
  </si>
  <si>
    <t>企业为实现低碳转型与应对气候变化，当前已实施或计划实施的关键减排与转型措施，包括通过价值链协同实现的间接措施。</t>
  </si>
  <si>
    <t>1.转型主体应当对照国家碳达峰碳中和目标，制定并披露科学合理的碳减排目标，主要内容和要求包括：(3）温室气体排放核算范围至少包括范围一和范围二的温室气体排放；条件成熟时，酌情将范围三的温室气体排放纳入核算范围。
转型主体应当制定并披露技术可行的转型计划，主要内容和要求包括：(1)对照短、中、长期碳减排目标，明确每个阶段的转型技术路径，该技术路径应当具有可行性和先进性；(2)明确每个阶段的工作计划及重点工作任务；</t>
  </si>
  <si>
    <t>第十二条（三）当前和计划采取的用于减缓和适应气候变化的间接措施（如与客户、供应链合作等）</t>
  </si>
  <si>
    <t>第四十五条 披露主体应当披露报告期内加强供应链风险管理、保障供应链安全稳定的情况，包括但不限于下列内容：
（一）供应链风险管理的基本情况，包括但不限于公司制定的供应链风险管理目标及具体计划、供应链风险应对机制、措施及实施效果；（二）通过并购重组、科技创新等保障自身供应链安全、强化供应链优势等方面的举措和积极效果。本所鼓励披露主体披露加强供应链管理、促进供应链可持续发展的行动和举措。</t>
  </si>
  <si>
    <t>参与监管机构行业倡议，制定自愿和强制性的转型计划标准和其他披露，如与巴黎协定一致的账户； 
参与投资者行业网络协会，以提高有关《巴黎协定》目标基准投资组合的知识；
2. 与现有和潜在的资产管理者接触，鼓励管理者提供战略和产品，以实现资产所有者的净零投资目标；
3. 与现有和潜在客户接触，鼓励采用净零投资战略和产品，提供研究和分析，以支持气候风险评估和净零投资；
4. 促进跨行业企业转型计划的披露，例如根据IIGCC的转型计划行业中性指南和涵盖高影响力行业的净零标准；
5. 让私人数据供应商参与进来，以确保评估与气候行动100+《净零公司基准》的最新详细指标指南中的一致标准一致；
6. 与私人数据供应商合作，确保范围3排放数据详细说明评估中使用的类别及其准确性；
7. 参与投资者网络的活动，促进与净零投资相关的知识创造；
8. 表达与资产类别一致性标准相关的预期（例如，债券发行前）；
9. 与指数提供商合作，提供更符合净零的基准；
10. 与债券指数提供商接触，这些指数可能会无意中迫使投资者购买新债券，而不考虑气候影响；</t>
  </si>
  <si>
    <t>3. 参与策略
3.1 价值链参与
主体应当披露其为实现转型计划的战略愿景，正在或计划与价值链中其他主体开展的参与活动相关信息。
披露建议
作为此部分的内容，主体应当披露：
a. 解释其如何优先安排参与活动，以最大程度地推动实现转型计划的战略愿景；此部分可参考在 1.3《关键假设与外部因素》中披露的关键假设和外部因素
b. 描述当前及计划的参与活动；对于金融服务主体，这可能包括与被投公司、贷款客户及相关金融市场中介的互动，以及相关的治理活动
c. 说明当参与活动未能带来预期变化时，所采用的升级处理流程或判定标准
d. 各项活动对实现其战略愿景的预期主要贡献</t>
  </si>
  <si>
    <t xml:space="preserve">供应链管理流程描述；讨论因环境和社会问题引起的铁矿石或焦煤采购风险的管理流程。——
1 企业应披露有关其供应链中管理环境和社会风险的政策和程序的信息。讨论其管理供应链中环境和社会风险的政策和程序。可能会影响采购的铁矿石或焦煤供应链中存在的环境和社会风险。
2 企业应披露其采购原材料中经第三方验证的与环境或社会问题相关的供应链认证或认可的比例（按成本计算）
</t>
  </si>
  <si>
    <t>1) 客户与投资组合公司：积极且建设性地向客户和投资组合公司提供反馈与支持，鼓励其制定与净零目标一致的转型战略、计划与进展，并建立当参与无效时的升级处理框架及相应后果。 ・参与目标与方法的摘要，包括客户与投资组合公司的优先级排序、升级处理流程及时间线
・参与活动的进展详情
・如适用，描述与公司就其受控淘汰计划设计及进展的沟通情况，以及达成的关键指标
2) 行业：积极与行业同行进行接触，适时交流转型专业知识，共同应对行业挑战，并代表金融部门向外部利益相关方（如客户与政府）进行连贯一致的发声。 ・参与目标与方法的摘要，包括客户与投资组合公司的优先级排序、升级处理流程及时间线
・参与活动的进展详情
・如适用，描述与公司就其受控淘汰计划设计及进展的沟通情况，以及达成的关键指标
3) 政府与公共部门：直接与间接的游说及公共部门参与应保持一致，以支持有序向净零转型，并在适当时鼓励客户与投资组合公司的游说及倡导工作与机构自身的净零目标保持一致。 ・参与活动的摘要，包括议题与受众（如适用，使间接游说活动与净零转型保持一致的努力）
・参与活动如何被评估及与净零转型保持一致的概述
・参与活动的进展详情</t>
  </si>
  <si>
    <t>来源：24年可持续发展报告
公司根据已发布的降碳行动方案，制定了供应链减碳规划，并严格督促落实，形成了“量化、评估、减碳”的供应链低碳发展路径。通过这一系列举措，宝钢股份携手产业链上下游企业，为应对全球气候变化做出实质性贡献。
·我们累计引导 1,500 余家供应商开展产品碳核算，累计与 50多家重点供应商开展减碳技术交流，发布产品碳核算报告超过 5,000 份，为减碳奠定坚实基础
·基于已量化的工业品实际碳足迹数据，我们开展碳足迹数据“评估”。我们通过横向评估（同一产品不同供应商）和纵向评估（同一供应商同一产品不同年份）两个维度开展碳数据评估，持续发挥工业品碳数据的实际应用价值
·在持续推进“量化”与“评估”工作的基础上，我们成功引导1,000 余家供应商提升低碳管理 能 力，并助力100余家重点供应商的500多个工业品实际碳排放量较上一年度下降超过5%</t>
  </si>
  <si>
    <t>来源：24年可持续发展报告
公司已制定并实施了严格的采购及供应商管理规范，包括《供应商管理制度》《统购物资集中购销管理办法》《统购物资
招标管理细则》等制度，以确保采购流程的合规性与高效性。公司要求所有供应商签署并执行《供应商行为准则》，在管
理中将 ESG 行动列为对供应商的评价加分项，并就人权与劳工权益、环境保护、安全生产以及隐私保护等关键议题向供应
商提出明确要求，旨在有效降低供应链中的 ESG 相关风险。
公司积极响应国家“双碳”战略目标，致力于推动供应链向节能低碳转型。公司持续采购获得环境标志产品认证、节能产品认证或国家权威机构认可的其他认证的节能环保产品，并严格禁止采购“高污染、高环境风险”类产品，旨在为推进环境友好型社会的构建贡献力量。2024 年度，公司共有合格供应商 371 家。
公司持续优化供应链生态，促进产业链上下游企业绿色发展，积极履行国有企业社会责任，推动全产业链低碳发展。本年度，公司在《采购中心供应商管理办法》中将碳排放管理纳入原材料供应商准入、年审考评机制中，致力于将供应链管理与环保要求相融合，响应公司绿色低碳战略。公司要求参与合金类产品招标的供应商原则上需提交碳足迹数据，并广泛鼓励所有供应商采取措施以降低碳排放并提升能源利用效率。
本年度，公司召开首次绿色供应链碳核算报告交付评审会，签署《产品碳核算服务验收单》，完成对 11 家大宗物资供应商的评估，并发布 14 份详尽的正式报告。公司已面向相关供应商推进 626 项产品碳足迹核算报告收集工作，旨在全面评估上游供应商的碳排放水平，为制定碳减排策略提供可靠数据支持，也为构建公司绿色供应链数据库奠定坚实基础。
公司与供应商建立了良好的绿色低碳交流与合作机制。本年度，公司在绿色供应链管理方面积极行动，成功举办两场绿色供应链管理宣贯会，针对提升供应商管理水平与绿色采购效率等两个核心要点，进行了深入且全面的探讨。公司邀请知名专家对供应商进行碳排放意识培养与指导，传达公司在采购策略上的最新绿色理念。此外，针对供应商在准入及执行阶段可能遭遇的环保风险，提出了一系列针对性的建议，旨在促进上下游供应链合作共赢，推动绿色协同发展实现</t>
  </si>
  <si>
    <t>供应链减排措施与自身减排措施同属转型规划的实施行动层面，两者均偏向描述性披露，难以独立进行定量评价，且内容易与"转型规划"评价产生重叠。因此，建议与"自身减排措施"同步删除，将相关内容统一整合至"转型规划"模块中进行综合评价，以保持指标体系的简洁性。</t>
  </si>
  <si>
    <t xml:space="preserve">治理
</t>
  </si>
  <si>
    <t>治理架构</t>
  </si>
  <si>
    <t>企业围绕低碳/绿色/可持续/转型/ESG议题建立的治理层级完整性与权责清晰度</t>
  </si>
  <si>
    <t>4.转型主体应当制定并披露切实可行的治理计划，主要内容和要求包括：(1）落实转型计划的治理模式和实施方案，例如董事会和高管责任安排、内部分工与激励计划、温室气体排放监测与报告体系、信息披露机制等；</t>
  </si>
  <si>
    <t>第六条：企业应当披露负责监督气候相关风险和机遇的治理机构（包括董事会及其下设委员会或者其他类似机构）或者人员的情况。</t>
  </si>
  <si>
    <t>一（一）3.四是有落实转型方案的治理模式和实施方案。</t>
  </si>
  <si>
    <t>第十二条 披露主体应当建立健全公司治理结构和内部制度，确保公司相关内部机构具备足够的专业能力并有效履行可持续发展相关影响、风险和机遇的识别、评估、管理、监督等职能。</t>
  </si>
  <si>
    <t xml:space="preserve">2. 建立一个内部系统，定期监督实施情况；
3. 净零战略实现净零目标的能力（包括审查和更新净零目标、战略和指标）；
4. 制定计划以确保整个组织拥有适当的资源、技能和能力，以有效实施净零战略；
5. 将净零目标和战略以及目标纳入薪酬激励措施，视情况而定，并小心避免意外后果；
6. 制定向董事会、高级管理层和外部利益相关者报告净零目标、战略和目标的进度报告计划，包括预期和非预期结果；
</t>
  </si>
  <si>
    <t>CTF：要素1.发行人的气候转型战略和治理：推荐信息和指标：对发行人气候转型策略的明确监管和治理，包括管理层/董事会层级的问责</t>
  </si>
  <si>
    <t xml:space="preserve">提供清晰的董事会或董事委员会对气候变化监督的证据，或有在董事会层面任命负责气候变化的人员或职位。
</t>
  </si>
  <si>
    <t>治理：
（1）审批：董事会或者相关董事会委员会审批转型计划和气候相关目
标。
（2）监督：董事会或者相关董事委员会监督转型计划的实施情况。
（3）责任：高级管理层负责执行转型计划，相关人员有足够权力和资
源确保转型计划的有效执行。
（4）激励措施：薪酬和其他激励措施应与组织的气候目标保持一致。
（5）报告：定期披露低碳转型现状报告。
（6）审查：组织定期审查和更新自身计划、活动、指标和目标。
（7）透明度：组织向外部利益相关方报告转型计划目标和绩效，包括
财务、目标完成情况以及对组织业务造成的影响等。
（8）保证：组织的报告受到独立审查或者第三方保证的约束。</t>
  </si>
  <si>
    <t>5. 治理
5.1 董事会监督与报告
主体应当披露关于负责监督转型计划的治理机构（可包括董事会、委员会或等效治理机构）或个人的相关信息。
披露建议
作为此部分的内容，主体应明确该治理机构或个人，并披露：
a. 其对转型计划及其战略愿景的审核与批准机制，包括对任何变更、更新及报告的监督安排
b. 转型计划的相关责任如何体现在该治理机构或个人的职权范围、授权、角色描述及其他相关政策中
c. 该治理机构或个人如何确定是否具备或是否需要培养监督转型计划的适当技能与能力
d. 该治理机构或个人获取转型计划相关信息的方式与频率
e. 该治理机构或个人在监督主体战略、重大转型决策及其风险管理流程与相关政策时，如何纳入转型计划的考量，包括是否已考虑转型计划相关的权衡取舍
f. 该治理机构或个人如何监督转型计划中目标的设定，以及对这些目标和转型计划更广泛战略愿景的进展情况进行监控
5.2 角色、责任与问责
主体应当披露管理层在转型计划的治理流程、控制与程序中的监督、管理和履职相关信息，以及这些内容如何嵌入主体更广泛的控制、复核与问责机制中。
披露建议
作为此部分的内容，主体应当披露：
a. 负责执行监督与交付转型计划的管理机构或个人的身份
b. 5.2.a 中所述机构或个人在定义转型计划的战略愿景、设定目标及监控进展方面的角色
c. 对 5.2.a 中所述机构或个人的监督机制
d. 5.2.a 中所述机构或个人是否使用控制措施与程序来支持转型计划的监督，并确保所披露信息的可靠性；如果是，主体应当披露这些控制措施与程序如何与其他内部职能整合，以及转型计划的哪些内容接受外部鉴证或核查，包括鉴证或核查的性质
e. 转型计划是否需要经过股东批准，包括通过股东投票的方式
5.4 激励与薪酬
主体应当披露其如何或将如何使激励与薪酬结构与转型计划的战略愿景保持一致的相关信息。
披露建议
作为此部分的内容，主体应当披露：
a. 说明其高管激励与薪酬结构是否与转型计划的战略愿景保持一致，可包含以下信息：
i. 所采用的指标
ii. 该指标是否纳入短期及 / 或长期激励计划
iii. 高管激励计划中，转型计划相关指标的典型权重占比
iv. 与转型计划相关指标挂钩的高管薪酬占总薪酬的比例
b. 说明全公司范围内的激励与薪酬结构是否及如何与转型计划的战略愿景保持一致，包括其采用的方式是否与 5.4.a 保持一致，或是针对特定岗位或角色采取了差异化的方式</t>
  </si>
  <si>
    <t xml:space="preserve">1) 角色、责任与薪酬：为董事会或战略监督机构及高级管理层明确角色，确保其对净零目标拥有所有权、监督权与责任。为转型计划的设计与交付各方面指派合适的人员与团队。尽可能为所有角色使用薪酬激励。定期复核转型计划，以确保纳入重大更新与进展，将挑战视为修正方向的机会，并妥善管理实施风险。
・与净零转型计划相关的审批、监督及报告的治理结构与流程
・明确转型计划执行责任与问责机制的政策，以及相关的授权
・实施或修订政策、产品与服务所需的资源
・与净零转型计划目标、优先事项、战略及目标挂钩的激励与薪酬方法
・任何独立复核或第三方鉴证的结果与成果
</t>
  </si>
  <si>
    <t>来源：24年可持续发展报告
宝钢股份制定&lt;&lt;ESG工作管理制度&gt;&gt;等管理制度 -2
成立了以董事会为领导主体，战略、风险及 ESG 委员会为核心，ESG 工作小组为执行落地主力的自上而下多层次管理架构-2，--2，-2</t>
  </si>
  <si>
    <t xml:space="preserve">来源：24年可持续发展报告
公司制定了《环境、社会及管治工作管理办法》-2
公司构建董事会，战略、风险及ESG 委员会，ESG 协同管理工作组，ESG 推进工作组四级 ESG 管理模式，明晰各单位工
作职责，搭建长效 ESG 工作机制，有力保障公司中长期战略目标的落地实施，为公司的可持续发展筑牢根基。
公司双碳管理体系下设 8 个职能工作组，包括低碳战略规划组、低碳技术研用组、低碳产品与标准创新组、节能降碳与碳
核查组、绿色供应链建设组、碳资产管理与绿色金融组、低碳人才培养组和低碳品牌宣传组。各子公司在双碳领导小组的
指导下，积极开展当地的气候变化相关工作。
</t>
  </si>
  <si>
    <t xml:space="preserve">治理架构反映企业是否建立了与低碳转型相关的决策、执行与监督机制，是转型得以持续推进的重要保障条件。企业通常能够披露董事会、管理层职责安排及相关委员会设置情况，具备一定的可比性，且在国内外主流政策框架中均有明确要求，建议作为实施保障维度的基础性指标予以保留。
</t>
  </si>
  <si>
    <t>薪酬激励</t>
  </si>
  <si>
    <t>ESG/可持续发展/低碳/转型目标是否通过绩效与薪酬机制转化为真实的管理激励与约束</t>
  </si>
  <si>
    <t>第三十九条 企业应当披露在决定高级管理人员薪酬时是否以及如何考虑气候相关因素。</t>
  </si>
  <si>
    <t>5. 将净零目标和战略以及目标纳入薪酬激励措施，视情况而定，并小心避免意外后果</t>
  </si>
  <si>
    <t>企业高管薪酬考虑了气候变化表现。</t>
  </si>
  <si>
    <t>钢铁行业调整系数说明——钢（条目6）：若高管薪酬与可量化排放相关目标挂钩（占可变薪酬总额≥20%），则可进行正向调整。</t>
  </si>
  <si>
    <t>（4）激励措施：薪酬和其他激励措施应与组织的气候目标保持一致。</t>
  </si>
  <si>
    <t>5.4 激励与薪酬
主体应当披露其如何或将如何使激励与薪酬结构与转型计划的战略愿景保持一致的相关信息。</t>
  </si>
  <si>
    <t>・与净零转型计划目标、优先事项、战略及目标挂钩的激励与薪酬方法</t>
  </si>
  <si>
    <t>来源：24年可持续发展报告
我们将董事及高级管理层的薪酬与 ESG 绩效指标相挂
钩，将安全、环境、社会、治理、合规管理等议题指标
纳入高管激励及薪酬计划中。
将 ESG 体系能力提升（安全、环境、社会、治理、
合规管理等）作为 1 个专门的指标项，纳入 2024 年度
相关经理层成员经营业绩目标。其中宝钢股份总经理“践
行绿色低碳发展，推进美丽宝钢建设”考核所占权重
15%；分管相关工作的两位副总经理“践行绿色低碳发
展，推进美丽宝钢建设”“ESG 体系能力提升”两项考
核指标分别占总权重的 15%、5%。</t>
  </si>
  <si>
    <t>来源: 24年可持续发展报告
我们根据公司实际对包括总裁在内的高级管理人员薪酬方案进行了调整，包括对本财年财务业绩的评估和对关键管理活动（如碳排放管理、水资源管理、健康与安全等可持续发展相关绩效）的评估。
此外，公司将 ESG 相关绩效表现与公司高级管理层的薪酬绩效挂钩，设立了详细的定量、定性考核标准，根据职责分工，设置 5%-40% 不同的绩效考核权重，包括环境保护、碳排放管理、节能降耗、水资源管理、健康与安全、人才梯队建设、信息安全、知识产权、客户服务、廉洁建设、ESG 信息披露和 ESG 评级等方面。公司根据考核结果对高级管理层人员采取奖惩措施，以确保公司的 ESG 核心目标和措施得到有效执行，全面提升公司可持续管理水平。</t>
  </si>
  <si>
    <t>在企业信息披露中，薪酬激励通常与综合ESG绩效或经营绩效挂钩，鲜有企业明确将薪酬激励与低碳转型目标或减排指标直接绑定。若单独设置该指标，一方面容易与ESG综合评价体系产生混淆，另一方面可比性较弱。综合考虑数据可得性与指标区分度，建议不作为独立三级指标，而将碳相关薪酬挂钩情况作为"治理架构"评价框架中的加分项，以体现企业治理的深度与约束力。</t>
  </si>
  <si>
    <t>风险管理</t>
  </si>
  <si>
    <t>气候风险管理体系</t>
  </si>
  <si>
    <t>1. 全面风险嵌入（ERM化）：将气候风险由单一环保议题上升为公司级战略风险，实质性嵌入ERM及全价值链决策流程。
2. 治理架构多级化：构建“董事会—管理层—执行层”的三级或四级垂直穿透式治理架构。
3. 管控手段数智化：建设并运行“智能气候风险管理信息系统”或数字化管理平台，实现风险数据的常态化监测与可视化。
4. 责任落实绩效化：形成“目标—执行—考核—追责”闭环，并将气候/碳相关指标刚性挂钩领导班子或管理层年度经营业绩评价。</t>
  </si>
  <si>
    <t>第二十二条 企业应当披露其识别、评估、排序和监控气候相关风险的流程和相关政策。
第二十四条 企业应当披露其识别、评估、排序和监控气候相关风险和机遇的流程在多大程度上以及如何融入企业的整体风险管理流程。</t>
  </si>
  <si>
    <t>三（二）4.鼓励金融机构建立健全转型风险管理制度，明确责任和流程，探索建立风险监测及评估指标体系，对转型金融风险状况进行监测和分析，确保商业可持续与降碳目标相协同。</t>
  </si>
  <si>
    <t>第十八条 披露主体应当披露用于识别、评估及管理可持续发展相关影响、风险和机遇的流程。
（一）公司识别、评估可持续发展相关影响、风险和机遇的方法，以及评估这些影响、风险和机遇发生的可能性、大小和影响的途径；
（二）公司对可持续发展相关影响、风险与机遇的优先级排序及排序标准；
（三）公司监测可持续发展相关影响、风险和机遇的情况，如管理机制、具体流程等；
（四）可持续发展相关影响、风险和机遇管理流程融入公司内部管理流程的情况，以及报告期内的调整情况</t>
  </si>
  <si>
    <t>6. 治理：董事会对气候风险和气候战略执行情况的监督。理事会每年至少讨论一次气候风险管理和战略。</t>
  </si>
  <si>
    <t>问题2：企业是否认识到气候变化对业务是相关风险/机遇 /企业能够证明对“气候变化对业务而言是相关风险/机遇”的认识，或如果他们将以下至少两项融入到管理实践中：Q12. 有管理气候相关风险的过程；Q14. 为减少温室气体排放设定长期定量目标；Q15. 将气候变化表现融入高管薪酬；Q16. 将气候变化风险和机会融入战略；Q17. 采取气候场景计划；Q18. 披露内部碳定价；Q19. 确保气候变化政策和其所属行业协会立场一致 
问题11： 企业是否有管理气候相关风险的流程？ 企业将气候变化纳入全公司风险管理，或者他们有特定的气候相关风险管理流程。</t>
  </si>
  <si>
    <t>（1）描述风险：转型计划描述了组织在向低碳经济转型过程中面临的风险。
（2）计划挑战和不确定性：转型计划描述了组织在顺利执行其转型计划过程中面临的假设、不确定性和挑战。</t>
  </si>
  <si>
    <t xml:space="preserve">来源：24年可持续发展报告
我们设立战略、风险及 ESG 委员会，碳中和推进委员会和碳中和办公室，相关管理人员具备气候相关战略及风险管理能力。我们建立了定期的汇报机制，确保治理架构各层级分工明确。-2
我们对未来不同情景下可能发生的气候变化状况进行预测与分析，评估其对宝钢股份的影响状况，并基于分析结果，明确应对气候变化的战略目标及路径。我们定期回顾更新应
对气候变化战略目标及路径，确保其有效性。-2
宝钢股份建立了完整的气候变化风险管理流程，并将气候风险管理融入企业风险管理流程，确保在面对气候变化带来的挑战时能够做出及时有效的应对策略。我们将气候风险相关工作进行评估和归类，组建跨部门的项目团队，并定期对各项目进行监测评估，保障气候风险相关工作的有效性。-2
公司建立了覆盖多基地的智能化气候风险管理信息系统，不断识别气候变化带来的风险，为经营决策提供有力支持。-2
</t>
  </si>
  <si>
    <t>来源: 24年可持续发展报告
为有效应对气候变化风险和机遇，公司建立了完善的气候变化管理体系，以双碳工作组织架构为基础，贯彻落实董事会制定的气候变化相关制度、战略和目标。</t>
  </si>
  <si>
    <t>气候风险管理体系反映企业对气候风险的识别、评估与应对能力，是国内外政策框架和监管要求对金融机构及重点排放行业的核心关注内容之一。企业披露以定性描述为主，但在是否建立完整体系、风险识别是否覆盖转型风险与实体风险等方面具备一定区分度，建议保留并采用定性分档评价方式。</t>
  </si>
  <si>
    <t>气候相关风险和机遇</t>
  </si>
  <si>
    <t>1. 风险与机遇识别完整性：同时识别转型风险与实体风险，涵盖政策/法律、技术、市场、供应链、声誉、急性与慢性物理风险等；同时识别低碳产品、能源结构优化、政策支持等机遇。
2. 时间维度清晰性：在短期（1–2年）、中期（3–6年）、长期（7年及以上）不同时间框架下开展识别与评估。
3. 财务影响关联性：识别风险和机遇对成本、收入、投资、融资、信用风险等财务事项的影响。
4. 量化深度差异：区分定性判断、间接量化（环保投入、节能降本）与直接量化（营收变化、成本变化、溢价比例、履约成本节约等）。</t>
  </si>
  <si>
    <t>第十一条 企业在披露可合理预期会影响企业发展前景的气候相关风险和机遇时，应当：（二）针对企业识别出的每项气候相关风险，说明企业将该风险认定为气候相关物理风险还是气候相关转型风险；（三）披露这些风险和机遇对企业的业务模式和价值链的当期和预期影响，以及企业的业务模式和价值链中气候相关风险和机遇集中的领域（如特定活动、业务关系、地理区域、设施和资产类型等）；（四）针对企业识别出的每项气候相关风险和机遇，明确其可合理预期影响企业发展前景的时间范围（包括短期、中期或者长期），如何定义短期、中期和长期，以及这些定义如何与企业用于战略决策的时间范围相关联。
第十三条 企业应当披露气候相关风险和机遇的当期和预期财务影响。</t>
  </si>
  <si>
    <t>第十四条 披露主体应当识别并充分评估可能在短期、中期或长期内对公司商业模式、业务运营、发展战略、财务状况、经营成果、现金流、融资方式及成本等产生重大影响的可持续发展相关风险和机遇。</t>
  </si>
  <si>
    <t>2. 使用系统方法识别影响资产的因素，以增加气候解决方案的风险敞口并降低碳强度（例如，自定义基准、气候倾斜指数、以气候为重点的影响因素）；</t>
  </si>
  <si>
    <t>CTB：发行人需满足以下要求：识别、分析碳锁定风险，尽力缓解该风险，并进行披露。</t>
  </si>
  <si>
    <t xml:space="preserve">问题2：企业是否认识到气候变化对业务是相关风险/机遇 /企业能够证明对“气候变化对业务而言是相关风险/机遇”的认识，
问题15：企业是否将气候变化风险和机会融入战略中？ 详细说明企业是如何将气候变化风险和机会融入战略中的，并且披露气候变化风险和机会对财务计划的影响（运营支出、资本支出、并购、债务）。
</t>
  </si>
  <si>
    <t>（3）优先机遇：说明组织在向全球低碳经济转型的过程中打算如何最大限度地利用气候机遇。</t>
  </si>
  <si>
    <t>来源：24年可持续发展报告
转型风险：宝钢股份紧密结合自身业务范畴与行业现状，并针对不同排放情景假设下可能面临的风险与机遇进行分析。同时，我们评估了各类风险与机遇可能引发的财务损失或增益，据此按照低、中、高确定了风险和机遇的影响程度，并明确了影响的时间范围，目前碳定价、消费者行为转变风险较大，宝钢股份已根据市场、政策等采取举措。根据情景分析结果，我们评估并列举了 2050 年零碳排放情景（NZE）、中国钢铁行业低碳转型情景中可能会对本公司运营造成潜在影响的转型风险，并通过定量分析对比各类风险可能导致的财务金额减损 / 增加，按照低、中、高确定了风险的影响程度
实体风险：随着极端天气频率和严重程度的增加，企业的生产运营以及和生产相关的原材料数量和供应的波动性将受到影响。根据情景分析结果，我们评估并列举了 RCP4.5 和 RCP6.0 情景中可能会对本公司运营造成潜在影响的实体风险，并对比各类风险可能导致的财务金额减损 / 增加，按照低、中、高确定了风险的影响程度。</t>
  </si>
  <si>
    <t>来源：24年可持续发展报告
风险覆盖了6类，并进行了应对举措：政策和法律风险、技术风险、市场风险、声誉风险、急性物理风险、慢性物理风险
政策和法律风险应对措施：加强能源消耗、低碳政策研究，及时应对政策变化；公司已制定碳中和路线图，每年投资节能减排项目；公司积极推进碳管理数字化平台建设，持续完善申报工作流程。
技术风险应对措施：与国内外科研机构联合，加大科技研发，有序开展低碳技术研究。
市场风险应对措施：利用沿江沿海优势，深挖光伏、风电潜力，提升绿电占比，研发推广低碳产品。
声誉风险应对措施：积极回应利益相关方关于应对气候变化相关的要求；定期披露ESG报告，以回应各利益相关方关注
物理风险应对措施：制定针对极端自然灾害的应急管理方案；推进供应商的社会责任评估工作，减少供应链风险。</t>
  </si>
  <si>
    <t>气候相关风险与机遇的识别和评估是风险管理能力的重要组成部分，相关披露能够体现企业对气候议题的战略整合程度。该指标在TCFD、IFRS S2等主流框架中均有明确要求，且部分企业已开始在报告中进行具体描述。建议保留并采用定性分档评价方式，重点考察识别维度的完整性和财务影响的关联程度。</t>
  </si>
  <si>
    <t>气候压力测试</t>
  </si>
  <si>
    <t>1. 开展情况：明确披露已开展气候情景分析或压力测试。
2. 情景设置特征：情景覆盖转型风险与实体风险，包含中长期时间尺度。
3. 方法论来源：参考国际或行业权威情景与框架（如 IFRS S2、IEA、IPCC、钢铁行业低碳转型情景）。
4. 结果应用：情景分析结果用于评估对经营、成本、收入、资产或融资的潜在影响，并支撑风险管理或战略判断。</t>
  </si>
  <si>
    <t>第十七条 为使可持续信息基本使用者了解企业的战略和业务模式对气候相关变化、发展和不确定性的韧性，企业应当考虑已识别的气候相关风险和机遇，使用气候相关情景分析评估其气候韧性，并披露下列信息：（一）报告日气候韧性评估的内容；（二）进行气候相关情景分析时使用的输入值信息；（三）进行气候相关情景分析时运用的关键假设；（四）进行气候相关情景分析的报告期间。
第十八条  企业应当结合其面临的气候相关风险和机遇以及进行情景分析可用的技能、能力和资源，确定其使用的气候相关情景分析方法。
第十九条 企业可以按照战略规划周期（如每三至五年）进行气候相关情景分析。如果企业并未每年进行气候相关情景分析，则企业根据第十七条（二）至（四）规定对气候相关情景分析的披露可能与上一个报告期间相同，但需每年对气候韧性进行评估，并按照第十七条（一）规定披露相关信息，以反映气候相关变化、发展或者不确定性对企业业务模式和战略的影响。</t>
  </si>
  <si>
    <t>第二十二条 披露主体应当结合所识别的气候相关风险和机遇，评估公司的战略、商业模式等对气候变化的适应性，并披露下列事项：
（一）公司关于气候变化对其战略和商业模式影响的评估情况，以及应对相关影响的方法；
（二）公司在评估其气候适应性时考虑的重大不确定性因素；
（三）公司在短期、中期和长期内为适应气候变化调整其战略和商业模式的能力。
本所鼓励有条件的披露主体采用情景分析等方式进行气候适应性评估，并披露情景分析关键假设、分析过程等。</t>
  </si>
  <si>
    <t>1. 描述用于指导目标设定和评估公司一致性的基于科学的情景或路径，包括这些情景或路径如何满足关键参数和使用的关键假设；
1. 进行情景分析，以更新资本市场假设、资产水平风险/回报预期，并对投资组合进行压力测试；</t>
  </si>
  <si>
    <t>问题16：企业是否采取气候场景计划？ 提到与商业规划相关的2摄氏度情景，或者确认已经进行与气候相关的情景分析，并且描述了一个或多个气候情景分析的商业影响。</t>
  </si>
  <si>
    <t>（6）情景分析：组织使用多种气候相关情景测试转型计划和相关目标的可实现性。</t>
  </si>
  <si>
    <t>来源：24年可持续发展报告
宝钢股份遵循气候相关财务信息披露工作组（Task Force on Climate-related Financial Disclosure, 即 TCFD）的披露方
法及建议，利用情景分析模型等分析技术对气候变化趋势及其与公司运营之间的关系进行预测评估。我们参考了中国钢
铁工业协会和国际能源署（IEA）所模拟的情景，对宝钢股份进行转型风险的情景分析：
宝钢股份紧密结合自身业务范畴与行业现状，并基于公开的数据来源，包括政府间气候变化专门委员会(IPCC)和国际能源署(IEA)关于气候排放路径的评估和报告，针对不同排放情景假设下可能面临的风险与机遇进行分析。在此基础上，我们内部采用定量分析方法，确定了影响的时间范围包括短期(1年~2年)，中期(3年~6年)及长期(7年及以上)同时，我们评估了各类风险与机遇可能引发的财务损失或增益
针对气候实体风险的情景分析，我们参考了政府间气候变化专门委员会(IPCC)所制定的代表性浓度路径RCP4.5与RCP6.0情景:
根据情景分析结果，我们评估并列举了2050年零碳排放情景(NZE)、中国钢铁行业低碳转型情景中可能会对本公司运营造成潜在影响的转型风险，并通过定量分析对比各类风险可能导致的财务金额减损/增加，按照低、中、高确定了风险的影响程度。根据情景分析结果，我们评估并列举了 RCP4.5和 RCP6.0情景中可能会对本公司运营造成潜在影响的实体风险，并对比各类风险可能导致的财务金额减损/增加，按照低、中、高确定了风险的影响程度。</t>
  </si>
  <si>
    <t>无</t>
  </si>
  <si>
    <t>气候情景分析与压力测试是企业转型韧性评估的重要工具，有助于识别不同升温路径下的潜在风险与财务影响。该指标在TCFD、IFRS S2等权威框架中均被明确要求，部分领先企业已具备相关披露，但整体普及率仍有待提升。建议保留并采用定性分档评价，重点关注情景覆盖的完整性和结果的实际应用深度。</t>
  </si>
  <si>
    <t>环境行政处罚（负向指标）</t>
  </si>
  <si>
    <t>衡量企业在战略转型期（如前/后3年）因环境违法行为受到地方监管部门行政处罚的严重程度。</t>
  </si>
  <si>
    <t>第四条 企业还应当披露本准则第二章至第五章未涵盖的重要的气候相关影响信息。 气候相关影响包括企业活动对气候变化产生的实际或潜在影响，环境行政处罚可能属于此类影响的负面表现。</t>
  </si>
  <si>
    <t>二（一）4.做好转型信息披露。企业参照《钢铁企业转型信息披露模板》(附5)，在贷款存续期内按年度向提供融资支持的金融机构履行信息披露义务。内容包括但不限于：转型方案落实情况、转型融资使用情况、转型关键绩效指标完成情况、是否有重大环境违法违规行为、第三方机构跟踪评估意见等。企业碳排放相关数据以温室气体排放核查报告为准。</t>
  </si>
  <si>
    <t>第三十条（五）报告期内因污染物排放受到重大行政处罚或被追究刑事责任的情况，以及公司环境监测方案和风险管理措施是否存在重大缺陷。</t>
  </si>
  <si>
    <t>基础指标（三）环境保护。符合生态环境分区管控、环境影响评价、环境保护设施“三同时”、环境保护竣工验收等要求。依法申领排污许可证，履行依证排污责任，落实重点污染物排放总量控制要求。2026 年起完成全流程超低排放改造并公示。</t>
  </si>
  <si>
    <t>来源：各地生态环境局官网（行政处罚公告栏）</t>
  </si>
  <si>
    <t>环境行政处罚属于转型过程中的合规约束类负向指标，能够从风险管控角度反映企业在监管合规方面的表现。相关信息公开性强、可核验性高，具有较强的约束意义。建议至少将环境行政处罚作为必选负向指标予以保留；安全生产行政处罚和失信事件管理因与转型主题直接关联度相对较低，可作为可选指标纳入体系，综合评价企业合规经营水平。</t>
  </si>
  <si>
    <t>安全生产行政处罚（负向指标）</t>
  </si>
  <si>
    <t>衡量企业因违反安全生产法规受到处罚或发生生产安全责任事故的严重程度</t>
  </si>
  <si>
    <t>第四条 企业还应当披露本准则第二章至第五章未涵盖的重要的气候相关影响信息。 安全生产事故可能与气候相关物理风险（如极端天气导致的安全事故）有关，或因转型措施不当引发。</t>
  </si>
  <si>
    <t>第五十条（二）职业健康与安全的基本情况，包括但不限于针对公司职业安全风险及来源的识别与评估情况，职业健康安全管理体系的建立及实施情况、相应资质认证获得情况、相关培训情况，工伤保险、安全生产责任险的投入金额及人员覆盖率，报告期内安全事故的具体情况（如有）等；</t>
  </si>
  <si>
    <t>基础指标（五）安全生产。落实安全生产主体责任，遵守《冶金企业和有色金属企业安全生产规定》，配套建设安全设施、职业卫生防护设施，具备安全、职业卫生、消防竣工验收等相关手续。上年度以来未发生较大及以上生产安全事故，未发生重大及以上网络安全事件、数据安全事件。
引领指标（五）安全化。积极提升本质安全、生产安全水平，强化网络安全、数据安全管理能力。积极推进资源保障能力建设，提升铁矿、废钢/直接还原铁/镍铁等主要生产原料的保障能力。</t>
  </si>
  <si>
    <t>（1）死亡人数（2）总可记录事故率（TRIR）（3）死亡率（4）未遂事故频率（NMFR）（a）直接雇员和（b）非雇员合同工
——1 企业应分别披露（1）（a）员工和（b）非员工工人因工伤和工作相关疾病造成的死亡人数；
2 实体应分别披露（2）（1）其（a）雇员和（b）非雇员工人的工作相关伤害和疾病的总可记录事故率（TRIR）；
3 披露包括所有工人，无论其地点或就业类型如何；4 所有披露的费率应按以下方式计算：（统计数量×200,000）报告年度内所有员工的工作总小时数。
5 如果报告期内劳动力总数发生重大变化，实体应解释这些变化。
6 实体应披露以下每个员工类别的费率；
7 披露范围包括所有员工，无论员工地点或就业类型如何。</t>
  </si>
  <si>
    <t>来源：各地方应急管理局（厅/局）官网（行政处罚或事故通报栏）</t>
  </si>
  <si>
    <t>安全生产行政处罚能够从劳工权益保护和企业安全管理角度反映企业合规水平，在转型过程中对员工影响的评价维度具有一定参考意义。但与转型绩效的直接关联度相对弱于环境行政处罚，建议作为可选负向指标纳入体系，与环境行政处罚配合使用，综合反映企业的合规经营状况。</t>
  </si>
  <si>
    <t>失信事件管理（负向指标）</t>
  </si>
  <si>
    <t>量化转型期企业面临的诉讼压力与现金流风险，案件常涉及合同（供应链）、劳动（安置）、金融（偿债）纠纷。</t>
  </si>
  <si>
    <t>第四条 企业还应当披露本准则第二章至第五章未涵盖的重要的气候相关影响信息。失信事件可能影响企业声誉和财务稳定性，与气候相关转型风险（如政策、法律、市场风险）相关。</t>
  </si>
  <si>
    <t>第四十六条 披露主体或者其控股子公司通过国家企业信用信息公示系统向社会公示逾期尚未支付中小企业款项信息的，应当披露逾期未支付中小企业款项的金额、对中小企业供应商的账期设置、逾期账款的形成原因、是否涉及诉讼仲裁等情况，并披露解决方案。</t>
  </si>
  <si>
    <t>基础指标（一）基本要求。依法依规开展生产经营活动，不存在严重违法违规行为，未列入“严重失信主体名单”，维护行业自律。正常生产，未列入“经营异常名录”。依法依规缴纳税款及社会保险费，按规定支付职工薪酬。不存在从事《中华人民共和国
反垄断法》规定的垄断行为。规范企业公告前，不存在国家有关专项督察通报问题未整改完成事项。</t>
  </si>
  <si>
    <t>工信部《钢铁行业规范条件（2025 年版）》基本要求：依法依规开展生产经营活动，不存在严重违法违规行为，未列入“严重失信主体名单”，维护行业自律。正常生产，未列入“经营异常名录”。依法依规缴纳税款及社会保险费，按规定支付职工薪酬。不存在从事《中华人民共和国反垄断法》规定的垄断行为。规范企业公告前，不存在国家有关专项督察通报问题未整改完成事项。</t>
  </si>
  <si>
    <t>来源：各地高级人民法院被执行人查询系统</t>
  </si>
  <si>
    <t>失信事件（如法院被执行人等）能够从合同履约和信用管理角度反映企业的诚信经营状况，在转型融资过程中对金融机构的授信决策具有参考价值。但其与低碳转型绩效的直接关联较弱，建议作为可选负向指标纳入体系，作为企业整体合规风险评估的辅助依据。</t>
  </si>
  <si>
    <t>转型表现</t>
  </si>
  <si>
    <t>财务表现</t>
  </si>
  <si>
    <t>吨产品净收入</t>
  </si>
  <si>
    <t>按利润表、季度或年度报告等口径中披露的钢铁产量（吨）、归属于上市公司股东的扣除非经常性损益的净利润（元）等业务和财务数据，考虑自身历史和行业水平分析吨钢净利润变化情况</t>
  </si>
  <si>
    <t>第十三条（一） 气候相关风险和机遇对企业报告期间的财务状况、经营成果和现金流量的影响。</t>
  </si>
  <si>
    <t>金融机构根据转型方案，综合考虑企业经营情况、降碳力度等因素，提供建设和运营融资支持</t>
  </si>
  <si>
    <t>转型收入：3.5 绿色和脱碳的年收入增长；3.6 绿色和脱碳年收入（占总收入的百分比）。按照企业是否有目标和数据及其器详细程度，并根据减少提数据梯度，分6个评分阈值进行评价；
钢铁行业调整系数说明——转型领导者：通过绿色活动或产品（至少部分）收入证明转型进展；展示转型的实质性进展，其中绿色活动或产品贡献了显着的收入份额。</t>
  </si>
  <si>
    <t>来源：24年可持续发展报告、24年年度报告
可持续发展报告：附录 1 主要数据指标-净利润
公司年报：产销量情况分析表-生产量合计</t>
  </si>
  <si>
    <t xml:space="preserve">来源：24年年度报告
钢产品生产量；主营业务收入-成本=净利润
</t>
  </si>
  <si>
    <t>前期设置"吨产品净收入"指标，初衷是从单位产品收益视角观察企业在转型过程中的盈利能力变化。但进一步分析后发现，该指标主要反映企业整体财务表现及产品定价能力，受市场价格波动等外部因素影响较大，与低碳转型绩效之间缺乏直接因果关系，无法有效衡量企业转型的实际进展。因此建议删除该指标，以增强指标与转型主题的相关性。</t>
  </si>
  <si>
    <t>高附加值产品竞争力</t>
  </si>
  <si>
    <t>采用季度或年度报告等口径中披露的钢铁业务收入、钢铁销售量等业务、财务数据，通过吨钢销售均价（元/吨）得到企业的销售均价相对于行业均价的差距，反应市场对该企业高附加值产品的溢价支付意愿。</t>
  </si>
  <si>
    <t>9、产品结构优化 
9.1 开发高强高韧、耐蚀耐磨、轻量化、长寿命的钢铁绿色设计产品</t>
  </si>
  <si>
    <t>一（一）3.投资活动要在《河北省钢铁行业转型金融支持经济活动目录（2025年版）》范围内（目录中包含开发高强高韧、耐蚀耐磨、轻量化、长寿命的钢铁绿色设计产品）</t>
  </si>
  <si>
    <t>《钢铁行业稳增长工作方案（2025—2026年）》：增强高端产品供给能力。聚焦高端装备、核心基础零部件等领域所需高性能轴承钢、齿轮钢、高温合金、工模具钢等关键钢材，组织钢铁企业联合上下游企业、高校、科研院所等开展产业链协同攻关。持续发挥船舶与海工、超超临界等新材料重点平台作用，加快产品应用验证和迭代升级。
2022年9月，工信部等四部门联合印发的《原材料工业“三品”实施方案》明确提出，到2025年要实现“高温合金、高性能特种合金、半导体材料、高性能纤维及复合材料等产品和服务，对重点领域支撑能力显著增强”的目标。该方案特别将“高性能特种钢”列为需要支持鼓励研发和产业化的关键基础材料，表明超高强钢已成为国家战略的重要组成部分。
《标准提升引领原材料工业优化升级行动方案（2025—2027年）》进一步将“特种装备用钢”、“高性能特种钢”等先进基础材料标准修订列为重点。</t>
  </si>
  <si>
    <t>来源：24年可持续发展报告、24年年度都报告
环披报告：附录 1 主要数据指标-营业总收入、
年度报告：产销量情况分析表-钢材销售量、24年度报告-合并资产负债表- EBITDA（税息折旧及摊销前利润）-营业利润+固定资产折旧+使用权资产折旧 + 无形资产摊销+长期待摊费用摊销</t>
  </si>
  <si>
    <t>来源：24年年度报告
钢产品销售量；主营业务收入</t>
  </si>
  <si>
    <t>前期设置"高附加值产品竞争力"指标，初衷是通过产品价格溢价衡量企业产品结构升级与技术含量提升情况。但进一步审视后发现，产品溢价主要反映市场对该企业产品的支付意愿，受供需关系影响较大，与企业低碳转型绩效并无直接关联。同时，该指标拟体现的产品结构升级内容已通过"产品结构优化"指标得到覆盖。因此建议删除该指标，避免重复计量，增强体系聚焦性。</t>
  </si>
  <si>
    <t>绿色低碳转型债券</t>
  </si>
  <si>
    <t>公司在近五年内为绿色低碳转型相关债券发行人，且披露相关债券运用情况</t>
  </si>
  <si>
    <t>《关于进一步优化绿色及转型债券相关机制的通知》拓宽转型债券发行人范围，拓展转型债券募集资金用途，指出转型债券将支持有转型需求的企业，不限于钢铁、有色、石化等传统八大行业，进一步拓展转型债券发行人主体范围，对于募集资金用途，通知指出企业可按有关部委或相关主管部门制定的转型目录等标准发行转型债券，用于与碳达峰碳中和目标相适应、具有减污降碳和能效提升作用的项目及其他相关经济活动，将有助于推动传统行业转型升级，促进转型债券市场进一步扩容。</t>
  </si>
  <si>
    <t>确定资本分配一致性，明确表明资本支出与到2050年实现净零排放是一致的。在构建投资组合时，考虑能够推动实体经济脱碳的不同的资产类别和投资；使用系统方法识别资产类别变体，以增加气候解决方案的风险敞口并降低碳强度；将净零目标与标准指标一起纳入投资组合建设。理想情况下，额外的调整目标应涵盖脱碳和气候解决方案。</t>
  </si>
  <si>
    <t>CTB要求将募集资金用于合格气候转型项目，而气候转型项目的定义包含以下范畴：资产、投资与经营活动，高排放资产的提前淘汰与拆除，以及与高排放活动相关的研发支出等——这些活动须能够实现显著且可量化的温室气体规避、减排或清除。</t>
  </si>
  <si>
    <t>企业承诺将所有未来资本支出与其长期温室气体目标或《巴黎协定》将全球气温增幅限制在1.5摄氏度的目标保持一致。企业同时必须披露将未来资本支出与其减碳目标相一致的方法。</t>
  </si>
  <si>
    <t>来源：2024年度报告-第九节 债券相关情况
披露了低碳转型绿色债券募集资金所投向的绿色项目进展情况、募集资金所投向的绿色项目环境效益，所遴选的绿色项目环境效益测算的标准、方法、依据和重要前提条件、募集资金所投向的绿色项目预期与/或实际环境效益情况（具体环境效益情况原则上应当根据《绿色债券存续期信息披露指南》相关要求进行披露，对于无法披露的环境效益指标应当进行说明、评估认证机构相关情况</t>
  </si>
  <si>
    <t>绿色或低碳转型债券的发行本身并不直接等同于转型成效，单纯以发行次数或规模进行量化评价，可能误判企业真实转型水平。该指标如果被认为有必要纳入评价体系，可能更适合拆解为“是否参与”“资金用途清晰度”“项目实施与效果披露”“第三方评估”等要素，通过分项赋分方式反映企业在转型金融工具运用方面的规范性与成熟度。例如：
（一）是否作为绿色 / 低碳转型债券发行人，是-2分；否-0分
（二）募集资金用途与转型相关性，用途表述笼统（如“用于绿色项目”）-1 分；明确对应具体转型项目/技术路径-2 分；披露项目进展-3分；披露测量的减排效果-4分
（三）是否有第三方评估/认证，是-2分；否-0分</t>
  </si>
  <si>
    <t>碳排放表现</t>
  </si>
  <si>
    <t>碳价敏感度</t>
  </si>
  <si>
    <t>采用季度或年度报告等口径中披露的EBITDA（税息折旧及摊销前利润）、市场碳价等业务、财务数据，形成理论碳成本占企业经营利润的比例，衡量企业盈利对碳价（尤其是潜在或未来碳价格）的敏感程度。</t>
  </si>
  <si>
    <t>第三十八条 对于内部碳定价，企业应当说明在决策中是否以及如何应用碳价格（如投资决策、转移定价以及情景分析），披露其内部用于评估温室气体排放成本的每吨温室气体排放的价格。企业可以使用影子价格、内部税费等内部碳定价方法。</t>
  </si>
  <si>
    <t xml:space="preserve">《全国碳排放权交易市场覆盖钢铁、水泥、铝冶炼行业工作方案》：四、实施配额管理
（一）制定年度配额总量和分配方案。生态环境部会同国务院有关部门根据国家温室气体排放控制目标，制定钢铁、水泥、铝冶炼行业年度碳排放配额总量和分配方案。在启动实施阶段，2024 年度配额分配量与其经核查的实际碳排放量相等，2025 年度和 2026 年度配额基于碳排放强度控制思路进行分配。在深化完善阶段，对标行业先进水平优化配额分配方法，推动单位产品产量（产出）碳排放不断下降。
</t>
  </si>
  <si>
    <t>来源：24年可持续发展报告、2024年年度报表
可持续发展报告：附录 宝钢股份总温室气体排放总量表：温室气体排放总量(类别1+类别2)11024万吨二氧化碳当量
年度报告：合并利润表-EBITDA = 营业利润 + 固定资产折旧 + 使用权资产折旧 + 无形资产摊销 + 长期待摊费用摊销</t>
  </si>
  <si>
    <t>来源：24年可持续发展报告-附录：ESG指标数据（当年数据和基准年数据）
温室气体排放量
年度报告：EBITDA = 营业利润 + 固定资产折旧 + 使用权资产折旧 + 无形资产摊销 + 长期待摊费用摊销</t>
  </si>
  <si>
    <t>碳价敏感度通过企业理论碳成本占经营利润的比例，衡量企业盈利对潜在碳价格变化的敏感程度，有助于识别企业面临的碳价风险敞口及低碳转型的财务必要性。该指标所需数据可从财务报告和企业碳排放披露中提取，在国际转型评估框架中具有一定参考基础，建议作为碳排放表现维度的定量指标纳入评价体系。</t>
  </si>
  <si>
    <t>碳排放披露情况</t>
  </si>
  <si>
    <t>1. 核心词：范围1、直接排放、范围2、能源间接排放、范围3、价值链排放
2. 范围3类别词：类别1、采购商品、上下游运输、差旅、员工通勤、废弃物</t>
  </si>
  <si>
    <t>1.转型主体应当对照国家碳达峰碳中和目标，制定并披露科学合理的碳减排目标，主要内容和要求包括：(3）温室气体排放核算范围至少包括范围一和范围二的温室气体排放；条件成熟时，酌情将范围三的温室气体排放纳入核算范围。</t>
  </si>
  <si>
    <t>第二十七条（一）温室气体排放。
第二十八条 企业应当按照范围一、范围二和范围三温室气体排放，分类披露报告期内产生的温室气体绝对排放总量（以吨二氧化碳当量表示）。</t>
  </si>
  <si>
    <t>二（一）企业碳排放相关数据以温室气体排放核查报告为准。
三（二）2.鼓励企业在披露碳排放范围1、范围2数据的基础上，开展范围3的信息披露。</t>
  </si>
  <si>
    <t>第二十四条 披露主体应当核算并披露报告期内的温室气体排放总量，并将不同温室气体排放量换算成二氧化碳当量公吨数。披露主体应当披露温室气体范围1排放量、范围2排放量，鼓励有条件的披露主体披露温室气体范围3排放量。</t>
  </si>
  <si>
    <t>《全国碳排放权交易市场覆盖钢铁、水泥、铝冶炼行业工作方案》：钢铁行业需披露二氧化碳温室气体排放数据，覆盖化石燃料燃烧、工业过程等产生的温室气体直接排放，不覆盖因消耗电力、热力等带来的间接排放。</t>
  </si>
  <si>
    <t xml:space="preserve">1. 披露基线投资组合范围1和2融资排放量，投资组合范围3排放量单独披露，主权相关资产单独披露；
5披露：披露运营范围1、2，以及重大范围3的排放； 
</t>
  </si>
  <si>
    <t xml:space="preserve">企业报告了范围1和范围2，或范围1、范围2和范围3的温室气体排放信息。如果企业仅披露范围1温室气体排放，应被评为“否”。
企业单独披露范围3排放，全部或一个或多个类别，或者提供范围1、范围2和范围3温室气体排放量总额。
在一些部门，范围3排放的特定类别具有重大意义，在生命周期排放中占很大份额。在这些行业，要求企业具体披露相关类别的排放量：
（1）对于汽车制造、煤矿开采、石油天然气生产和石油天然气分销公司，要求披露使用销售产品产生的范围3排放；
（2）对于食品生产商，要求披露采购商品和服务的范围3排放；
（3）对于多元化的矿工，要求披露销售产品加工过程中的范围3排放；
对于化学品公司，要求披露采购商品和服务以及销售产品使用的范围3排放。
</t>
  </si>
  <si>
    <t>1 主体应当披露其全球范围内的范围 1 温室气体（GHG）总排放量，以《京都议定书》涵盖的七种温室气体的二氧化碳当量（CO₂-e）公吨为单位，
2. 范围 1 排放的定义与计算方法
范围 1 排放的定义和计算，必须遵循《温室气体核算体系：企业核算与报告标准》（GHG Protocol）（修订版，2004 年 3 月）中所载的方法，该标准由世界资源研究所（WRI）与世界可持续发展工商理事会（WBCSD）共同发布。
3 受限排法规约束的排放占比主体应当披露其全球范围 1 温室气体总排放量中，受相关司法管辖区限排法律、法规或计划约束的排放占比。这些法规旨在直接限制或减少温室气体排放，例如：总量控制与交易机制碳税或收费 / 免税制度
其他排放控制措施（如命令控制型措施）许可机制
4 主体应当讨论自上一报告期以来的排放变化，包括该变化是否是由于减排、撤资、收购、合并、产出变化或计算方法变化造成的。
5 与其他披露的协调：如果主体向 CDP 或其他实体（如国家监管披露计划）报告的温室气体排放，在范围或合并方法上与本指引存在差异，主体可披露这些数据，但主要披露仍需遵循本指引。
6 主体可以选择以下方法进行排放披露，只要数据来源可靠：连续排放监测系统（CEMS）、工程计算、物料平衡计算。</t>
  </si>
  <si>
    <t>来源：24年可持续发展报告
附录 宝山钢铁股份有限公司钢铁板块：购买货物和服务的运输、员工通勤、产品运输、废物处置、采购货物和服务的排放（制造相关）等</t>
  </si>
  <si>
    <t>来源：24年可持续发展报告-附录：ESG指标数据（当年数据和基准年数据）
温室气体排放总量</t>
  </si>
  <si>
    <t>碳排放披露是开展后续定量评价的基础性前提，体现企业信息透明度与管理成熟度，建议作为基础指标保留。</t>
  </si>
  <si>
    <t>物理碳排放强度</t>
  </si>
  <si>
    <t>单位粗钢产量所产生的范围一和范围二的碳排放量</t>
  </si>
  <si>
    <t>1.转型主体应当对照国家碳达峰碳中和目标，制定并披露科学合理的碳减排目标，主要内容和要求包括：(2）短、中、长期的碳减排目标，以定量的碳排放总量或者单位产品碳排放强度表示。
2.转型主体应当制定并披露技术可行的转型计划，主要内容和要求包括：(3）测算每个阶段转型工作的碳减排效果，说明碳减排效果的累积能够实现短、中、长期碳减排目标。</t>
  </si>
  <si>
    <t>第二十七条（一）温室气体排放。
第四十条 企业应当披露与特定业务模式、活动或者表明企业所处行业的其他共同特征相关的行业特定指标。</t>
  </si>
  <si>
    <t>一（一）2.短期目标要以定量的碳排放强度表示，中、长期目标要兼顾碳排放总量
一（一）3.二是投资计划涉及的主要工序碳排放预期值要低于河北省钢铁行业碳排放基准值。</t>
  </si>
  <si>
    <t>《全国碳排放权交易市场覆盖钢铁、水泥、铝冶炼行业工作方案》：四、实施配额管理
（一）制定年度配额总量和分配方案中明确提出“2025 年度和 2026 年度配额基于碳排放强度控制思路进行分配。在深化完善阶段，对标行业先进水平优化配额分配方法，推动单位产品产量（产出）碳排放不断下降。”
2025 年最新发布的《绿色工厂评价通则》（GB/T 36132-2025）；单位产值（或单位产品）的二氧化碳当量（CO₂e）排放量需明确年度减排目标，且近 3 年平均降幅≥3%；需覆盖范围 1（直接排放，如燃烧） 和范围 2（外购能源间接排放），重点行业（如化工、火电）需额外核算范围 3（供应链间接排放）。</t>
  </si>
  <si>
    <t>1、排放强度符合部门和地区2050年路径，并且其运营模式将保持这一表现的资产；
2. 排放表现：当前的绝对值或排放强度至少等于相关净零路径；</t>
  </si>
  <si>
    <t>CTB：3.1 关键绩效指标的选择 对于高排放的可持续发展挂钩债券（SLBs）发行人，一个或多个关键绩效指标（“KPIs”）应监测温室气体（GHG）减排——可以是直接结果（即绝对/强度温室气体排放指标）或辅助指标（即推动温室气体减排目标的杠杆指标）</t>
  </si>
  <si>
    <t xml:space="preserve">减排量（长期）：
（1）有针对性的减少绝对1、2级排放强度：按照企业是否有目标与数据及其详细程度、减排数据梯度（有无-35%），分6个评分阈值（0-5）进行评价；
（2）实现的减少绝对范围3排放:按照企业是否有目标与数据及其详细程度、减排数据梯度（有无-35%），分6个评分阈值（0-5）进行评价；
（3）实现的减少排放强度（范围1、2排放）:按照企业是否有目标与数据及其详细程度、减排数据梯度（有无-35%），分6个评分阈值（0-5）进行评价；
减排量（短期）：
（1）有针对性的减少绝对1、2级排放强度：按照企业是否有目标与数据及其详细程度、减排数据梯度（有无-35%），分6个评分阈值（0-5）进行评价；
（2）实现的减少绝对范围3排放:按照企业是否有目标与数据及其详细程度、减排数据梯度（有无-35%），分6个评分阈值（0-5）进行评价；
（3）实现的减少排放强度（范围1、2排放）:按照企业是否有目标与数据及其详细程度、减排数据梯度（有无-35%），分6个评分阈值（0-5）进行评价；
</t>
  </si>
  <si>
    <t>（5）温室气体减排：减少、清除和抵消排放量对于实现温室气体减排目标的相对贡献。</t>
  </si>
  <si>
    <t xml:space="preserve">1 主体应当披露其全球范围内的范围 1 温室气体（GHG）总排放量，以《京都议定书》涵盖的七种温室气体的二氧化碳当量（CO₂-e）公吨为单位，
</t>
  </si>
  <si>
    <t>来源：24年可持续发展报告、24年年度报告（当年与基准年数据）
环披报告：附录 宝钢股份总温室气体排放总量表：温室气体排放总量(类别1+类别2)11024万吨二氧化碳当量
公司年报：产销量情况分析表-生产量合计</t>
  </si>
  <si>
    <t>来源：24年可持续发展报告-附录：ESG指标数据（当年数据和基准年数据）
温室气体排放总量
24年年度报告-钢产品产量</t>
  </si>
  <si>
    <t>两类碳强度指标分别从产量与经济产出角度反映企业排放效率，营收碳排放强度从经济产出角度衡量单位营业收入的碳排放量，能够反映企业在创造经济价值的同时实现减排的效率，与物理碳排放强度形成互补，共同构成碳排放表现的量化评价维度。建议保留该指标，采用与物理碳排放强度相同的分档评价逻辑，结合绝对水平和年际变化综合评分。</t>
  </si>
  <si>
    <t>营收碳排放强度</t>
  </si>
  <si>
    <t>单位营业收入所产生的范围一和范围二的碳排放量</t>
  </si>
  <si>
    <t>来源：24年可持续发展报告（当年与基准年数据）
附录 1 主要数据指标：营业总收入3,221.16亿元；附录 宝钢股份总温室气体排放总量表：温室气体排放总量(类别1+类别2)11024万吨二氧化碳当量</t>
  </si>
  <si>
    <t>来源：24年可持续发展报告-附录：ESG指标数据（当年数据和基准年数据）
温室气体排放总量下面的“温室气体排放强度”单位是吨二氧化碳当量/每百万元营收</t>
  </si>
  <si>
    <t>碳排放效率</t>
  </si>
  <si>
    <t>碳减排效率用于衡量企业在实现营业收入增长的同时，其碳排放减少与经济增长之间的协同程度，反映企业“低碳增长”的质量。</t>
  </si>
  <si>
    <t>第四十四条 企业应当披露其每项气候目标实现情况的绩效信息，以及对企业绩效趋势或者变化的分析</t>
  </si>
  <si>
    <t>来源：24年可持续发展报告（近两年数据）
附录 1 主要数据指标：营业总收入3,221.16亿元；附录 宝钢股份总温室气体排放总量表：温室气体排放总量(类别1+类别2)11024万吨二氧化碳当量</t>
  </si>
  <si>
    <t>来源：24年可持续发展报告、24年年度报告（当年数据和基准年数据）
可持续报告：附录：ESG指标数据：温室气体排放总量（范围 1+ 范围 2） 2024年  35,612,055.11吨二氧化碳当量；
年度报告：营业收入1092.03亿元</t>
  </si>
  <si>
    <t>前期设置"碳排放效率"指标，主要是希望从碳排放与经济产出的协调性角度，衡量企业低碳增长的质量。但进一步分析后发现，该指标与"物理碳排放强度"和"营收碳排放强度"在概念上高度重叠，独立设置将导致指标体系内部冗余。建议将相关内涵通过已有强度指标的分档设计加以体现，删除单独的碳排放效率指标，以提升体系的精简度。</t>
  </si>
  <si>
    <t>自身减排速度</t>
  </si>
  <si>
    <t>企业当年的“同比减排幅度”，相对于行业当年的“平均同比减排幅度”，处在什么位置。</t>
  </si>
  <si>
    <t>一（一）3.二是投资计划涉及的主要工序碳排放预期值要低于河北省钢铁行业碳排放基准值。</t>
  </si>
  <si>
    <t>钢铁行业调整系数说明——钢：1. 若当前排放强度显著高于行业平均水平（+30%），则采用否定性修饰语。2. 若当前排放强度已显著低于行业平均水平（-30%），则采用正向修正系数。</t>
  </si>
  <si>
    <t xml:space="preserve">4 主体应当讨论自上一报告期以来的排放变化，包括该变化是否是由于减排、撤资、收购、合并、产出变化或计算方法变化造成的。
</t>
  </si>
  <si>
    <t>来源：24年可持续发展报告、24年年度报告（近两年数据）
环披报告：附录 宝钢股份总温室气体排放总量表：温室气体排放总量(类别1+类别2)11024万吨二氧化碳当量
公司年报：产销量情况分析表-生产量合计</t>
  </si>
  <si>
    <t>来源：24年可持续发展报告、24年年度报告（当年数据和基准年数据）
可持续报告：附录：ESG指标数据：温室气体排放总量（范围 1+ 范围 2） 2024年  35,612,055.11吨二氧化碳当量；
年度报告：钢产品生产量  2,016.22  万吨</t>
  </si>
  <si>
    <t>前期设置"自身减排速度"指标，主要是希望从动态视角衡量企业减排行动的相对速度，考察企业减排进展与行业均值的对比关系。但进一步分析后发现，该指标计算需要逐年对标行业均值，数据处理复杂度较高，且横向可比性受行业样本选取与更新的影响，实操难度较大。此外，其所反映的内容已部分包含于碳排放强度等核心指标的年际变化分析中。建议暂不纳入，视数据积累情况在后续版本中酌情引入。</t>
  </si>
  <si>
    <t>能源使用</t>
  </si>
  <si>
    <t>可再生能源占比</t>
  </si>
  <si>
    <t>自发可再生能源电量，是指企业在自身生产经营边界内，通过自建或控股的可再生能源发电设施，所产生并被企业自身消费的电力。
能源消耗总量：企业当期披露的能源消耗总量（单位 MWh）</t>
  </si>
  <si>
    <t>2. 清洁能源替代: 2.1 分布式光伏发电技术; 2.2 储热调峰; 2.3可再生能源制氢气和氧气用于钢铁冶炼</t>
  </si>
  <si>
    <t>第十二条（二）当前和计划采取的用于减缓和适应气候变化的直接措施（如节能产品认证、碳标识认证，改变生产工艺或者设备、搬迁设施、调整劳动力结构以及改变产品规格等）；</t>
  </si>
  <si>
    <t>一（一）3.投资活动要在《河北省钢铁行业转型金融支持经济活动目录（2025年版）》范围内（目录中包含分布式光伏发电技术、风力发电设施建设和运营）</t>
  </si>
  <si>
    <t>第三十五条（二）清洁能源使用情况，包括但不限于风能、太阳能、水能、地热能、生物质资源、海洋能、天然气等清洁能源的种类、总量、比例等；</t>
  </si>
  <si>
    <t>CTB：项目类别的初步且非详尽清单包括但不限于：  4. 低碳燃料，包括其生产、使用、采购及相关基础设施投资。</t>
  </si>
  <si>
    <t xml:space="preserve"> (3) 消耗的可再生电力百分比：企业应披露其消耗的来自可再生能源的电力数量（以 GJ 为单位），分为自发电和直接合同。其消耗的可再生能源百分比。</t>
  </si>
  <si>
    <t>来源：24年可持续发展报告（当年与基准年数据）
附录 1 主要数据指标：可再生能源-自发可再生能源电量：2024合计 377,164兆瓦时
附录 1 主要数据指标：能源消耗-能源总量：2024年合计267,429,687兆瓦时</t>
  </si>
  <si>
    <t>来源：2024年可持续发展报告（当年数据和基准年数据）
附录：ESG指标数据：自发绿电（屋顶光伏、风电）2024年 105,387兆瓦时；能源消耗总量 2024年 86,280,115兆瓦时</t>
  </si>
  <si>
    <t>可再生能源占比反映企业能源结构的清洁化程度，是国内外政策框架普遍关注的能源转型核心指标。上市钢铁企业在可持续发展报告中对可再生能源相关数据通常具有较好的披露基础，且指标计算方法标准化程度较高，具备较好的横向可比性，建议作为能源结构表现维度的核心指标予以保留。</t>
  </si>
  <si>
    <t>外购绿电包括：
绿电交易电量
绿证对应电量（如披露）
能源消耗总量：企业当期披露的能源消耗总量（单位 MWh）</t>
  </si>
  <si>
    <t>第四十五条 企业计划使用外购减排量作为补充手段抵销其温室气体排放量，以实现温室气体净排放量目标的，应当在说明其计划使用的减排量时披露下列信息：（一）实现温室气体净排放量目标依赖外购减排量使用的程度和方式；（二）对减排量进行认证的独立第三方名称及认证体系；（三）减排量所属的自愿减排交易机制名称，产生减排量的项目所处国别；（四）减排量的类型，包括抵销所用减排量源自何种自愿减排项目；（五）为使可持续信息基本使用者了解企业计划使用的减排量的可信度和完整性所需的其他因素（如项目业主对所提供材料真实性、完整性和有效性负责的承诺书）。</t>
  </si>
  <si>
    <t>《关于2025年可再生能源电力消纳责任权重及有关事项的通知》明确在电解铝行业基础上，2025年增设钢铁、水泥、多晶硅行业和国家枢纽节点新建数据中心绿色电力消费比例。《通知》要求，2025年，钢铁、水泥、多晶硅行业要求绿电消费比例为25.2%～70%之间，</t>
  </si>
  <si>
    <t>企业应披露（3）其消耗的来自可再生能源的电力数量（以 GJ 为单位），分为（3a）自发电和（3b）直接合同。其消耗的可再生能源百分比。
可再生能源的范围包括实体消耗的可再生燃料、实体直接生产的可再生能源和实体购买的可再生能源，如果通过明确包含可再生能源证书 (REC) 或原产地保证 (GO)、Green-e Energy 认证的公用事业或供应商计划或明确包含 REC 或 GO 的其他绿色电力产品购买，或 Green-e Energy 认证的 REC 与电网电力配对。</t>
  </si>
  <si>
    <t>来源：24年可持续发展报告（当年与基准年数据）
附录 1 主要数据指标：可再生能源-外购可再生能源电量：2024合计1,916,874兆瓦时，外购可再生能源绿证电量：2024合计2,660,300兆瓦时
附录 1 主要数据指标：能源消耗-能源总量：2024年合计267,429,687兆瓦时</t>
  </si>
  <si>
    <t>来源：2024年可持续发展报告（当年数据和基准年数据）
附录：ESG指标数据：外购绿电 2024年302,054兆瓦时，能源消耗总量 2024年 86,280,115兆瓦时</t>
  </si>
  <si>
    <t>外购绿电在一定程度上可降低企业范围二排放，但其转型含义具有明显的阶段性和外部依赖性：
受制于区域绿电供给、市场机制和政策补贴安排；
不一定伴随企业自身生产系统或能源结构的实质性改变。
因此，可将外购绿电作为可选指标，用于补充刻画企业在现阶段条件下的减排努力，但不作为转型绩效的刚性判断依据。</t>
  </si>
  <si>
    <t>能耗强度or能耗达标？</t>
  </si>
  <si>
    <t>能耗强度指标吨钢综合能耗，而能耗达标就是看单位产品能源消耗量是否满足国家及地方政府相关规定要求。</t>
  </si>
  <si>
    <t xml:space="preserve">1. 系统能效提升; 
1.1 上升管余热回收
1.2 烧结漏风率综合治理
1.3 水封式烧结环冷机
1.4 烧结返矿冷压球团矿
1.5 球团固固换热显热回收
1.6 高炉大比例球团冶炼
1.7 高炉炉顶均压煤气回收
1.8 转炉一次干法净化回收
1.9 转炉中低温余热回收
1.10 电炉烟气显热回收
1.11 高效煤气发电
1.12 低温余热有机工质朗肯循环（ORC）发电
1.13 电机、变压器、水泵、风机等公辅设施能效提升
</t>
  </si>
  <si>
    <t>通过环评审批的新建和在建钢铁企业高炉、转炉或电弧炉冶炼工序的单位产品能耗应达到《工业重点领域能效标杆水平和基准水平（2023年版）》中的高耗能行业能效标杆水平：高炉工序能效标杆水平为 361 千克标准煤/吨（对原料中钒钛磁铁矿用量每增加 10%，高炉工序能耗增加 3 千克标准煤/吨）；转炉工序能效标杆水平为-30 千克标准煤/吨；电弧炉冶炼（30 吨＜公称容量＜50 吨）能效标杆水平为 67 千克标准煤/吨；电弧炉冶炼（公称容量≥50 吨）能效标杆水平为 61 千克标准煤/吨（注：电弧炉冶炼全不锈钢单位产品能耗提高 10%）。现有钢铁企业高炉、转炉或电弧炉冶炼工序的单位产品能耗达到能效基准水平以上，基准水平分别为435千克标准煤/吨、-10千克标准煤/吨、86千克标准煤/吨、72千克标准煤/吨。
铸造用生铁企业单位产品能耗应达到地方标准。如《铸铁生产主要工序单位产品能源消耗限额》（DB13/T 2129-2014 ）中单位产品能耗限定值烧结工序≤59 千克标准煤/吨，球团工序≤35 千克标准煤/吨，高炉工序≤435 千克标准煤/吨。
《钢铁行业节能降碳专项行动计划》，至2030年底，钢铁行业主要工序能效进一步提升，主要用能设备能效基本达到先进水平，吨钢综合能耗和碳排放明显降低，用能结构持续优化</t>
  </si>
  <si>
    <t>能源管理主题下，企业应披露（1）其消耗的能源总量，以千兆焦耳（GJ）为单位。</t>
  </si>
  <si>
    <t>来源：2024年可持续发展报告
吨钢综合能耗达4.5兆瓦时/吨粗钢</t>
  </si>
  <si>
    <t>来源：2024年可持续发展报告
吨钢综合能耗535.47千克标准煤/吨粗钢</t>
  </si>
  <si>
    <t>能耗强度与碳排放强度存在较高同质性；而能耗达标指标在政策上依据具体工序设定限额，但企业披露通常不按工序拆分，导致数据可得性较差。综合考虑指标区分度与可操作性，建议不单独设置该指标。</t>
  </si>
  <si>
    <t>水资源利用</t>
  </si>
  <si>
    <t>用水效率</t>
  </si>
  <si>
    <t>单位粗钢水消耗量，指企业在生产过程中对水资源的消耗情况
用水效率 = 当期总用水量 ÷ 当期粗钢产量</t>
  </si>
  <si>
    <t>无重大损害原则。即转型金融支持的经济活动或企业应当对污染防控、资源节约和生态保护等其他环境目标无重大损害。</t>
  </si>
  <si>
    <t>第四十条 企业应当披露与特定业务模式、活动或者表明企业所处行业的其他共同特征相关的行业特定指标。</t>
  </si>
  <si>
    <t>一（一）3.投资活动要在《河北省钢铁行业转型金融支持经济活动目录（2025年版）》范围内（目录中包含钢铁生产不同工序水质分质供水技术、废水深度处理回用组合工艺、废水零排放处理和回用技术、循环水水质动态监测与水处理优化技术，适用于节水节能、钢铁行业废水处理回用等场景）</t>
  </si>
  <si>
    <t>第三十六条 （一）水资源使用的基本情况，包括但不限于总耗水量（以吨计算）及使用强度（如以每产量单位计算）等；
（二）水资源节约目标以及具体措施，水资源回收利用情况及水资源使用存在的具体困难（如有）。</t>
  </si>
  <si>
    <t>基础指标（四）资源消耗。资源综合利用符合国家有关规定。水资源消耗符合国家有关强制标准规定，不存在未经批准擅自取用地下水行为。</t>
  </si>
  <si>
    <t>《工业用水定额：钢铁》按照主要生产工序进一步细分制定，分别制定了烧结、球团、焦化、炼铁、炼钢、轧钢等工序用水定额。</t>
  </si>
  <si>
    <t>（1）按来源划分的总取水量
（2）总用水量；
（3）从缺水地区取水和消耗的水量百分比，以及基线水压力高或极高地区的用水量百分比
1 实体应披露从所有来源取水的数量，以兆升、千立方米为单位，按来源分类。
2 如果很大一部分取水来自非淡水源，则实体可按来源披露其供应部分。
3 该实体应披露其直接运营中消耗的水量，以兆升、千立方米为单位。
4 企业应披露在基线水资源压力高或极高地区，从水资源紧张地区消耗的水量占总消耗水量的百分比。
5 如果此披露的信息是估算或模拟的，而不是来自直接测量，则企业应解释其估算方法。</t>
  </si>
  <si>
    <t xml:space="preserve">来源：24年可持续发展报告、24年年度报告（当年数据和基准年数据）
环披报告：附录 1 主要数据指标：水资源-年度总用水量：135.67百万立方米
年度报告：产销量情况分析表-生产量合计
</t>
  </si>
  <si>
    <t>来源：24年可持续发展报告、24年年度报告（当年数据和基准年数据）
可持续报告：附录 ESG指标数据：水资源管理-总耗水量 50,146,778立方米
年度报告：钢产品生产量  2,016.22  万吨</t>
  </si>
  <si>
    <t>用水效率以单位粗钢产量水消耗量衡量企业对水资源的利用效率，是多个转型金融和企业可持续披露框架中明确要求的环境绩效指标。上市钢铁企业通常在可持续发展报告中具备相关数据披露，且具有一定的行业可比基础，建议作为水资源表现维度的核心指标予以保留。</t>
  </si>
  <si>
    <t>水资源回收利用率</t>
  </si>
  <si>
    <t>企业在生产过程中回用的水量占总用水量的比率，衡量企业是否通过技术手段有效回收和再利用水资源，减少对外部水资源的依赖</t>
  </si>
  <si>
    <t>一（一）3.投资活动要在《河北省钢铁行业转型金融支持经济活动目录（2025年版）》范围内（目录中包含废水深度处理回用组合工艺、废水零排放处理和回用技术、循环水水质动态监测与水处理优化技术，适用于节水节能、钢铁行业废水处理回用等场景）</t>
  </si>
  <si>
    <t xml:space="preserve">《工业废水循环利用实施方案》（工信部联节〔2021〕213号）明确提出到2025年，钢铁行业规模以上工业用水重复利用率要达到97%以上，推动钢铁企业加强节水管理和技术改造，推广应用高效循环用水处理、高浓度有机废水回用等先进工艺技术。
</t>
  </si>
  <si>
    <t>没有披露</t>
  </si>
  <si>
    <t>来源：24年可持续发展报告-附录：ESG指标数据
2024年水循环利用比例为98%</t>
  </si>
  <si>
    <t>前期设置"水资源回收利用率"指标，主要是希望从循环利用角度补充衡量企业的水资源管理水平。但在实际数据收集过程中发现，该指标企业间披露口径不统一，可比性受限，且所反映的水资源管理内容与"用水效率"指标存在较大重叠。综合考虑数据可得性与体系简洁性，建议暂不独立保留，可在"用水效率"评价框架中将水资源回收利用情况作为加分项加以考量。</t>
  </si>
  <si>
    <t>生态保护</t>
  </si>
  <si>
    <t>生物多样性</t>
  </si>
  <si>
    <t>企业在生物多样性保护方面表现，比如制度或组织架构建设、具体措施和实际成效，包括保护区域的生态恢复、物种多样性保护及生态环境修复等。</t>
  </si>
  <si>
    <t>第四条 企业还应当披露本准则第二章至第五章未涵盖的重要的气候相关影响信息。</t>
  </si>
  <si>
    <t>一（一）2.技术路径应遵循无重大损害原则</t>
  </si>
  <si>
    <t>第三十二条 披露主体生产经营活动对生态系统和生物多样性产生重大影响的，</t>
  </si>
  <si>
    <t>2) 技能与文化：为设计、实施与监督转型计划的团队和个人提供培训与发展支持，使其具备足够的技能与知识以履行职责（包括董事会及高级管理层层面）。实施变革管理计划，促进开放沟通，并将净零转型计划融入组织的文化与实践中。 
・现有及所需的能力、技能与知识摘要，以及评估方法
・资源需求与将转型计划要素融入文化与实践的变革管理计划摘要
・获取气候相关资源的渠道摘要</t>
  </si>
  <si>
    <t>来源：24年可持续发展报告
宝钢股份通过建立贯穿项目规划、建设、运营全过程的生物多样性保护管理体系，系统推进生态保护战略落地。报告期内，我们开展了一系列以生物多样性保护为主题的项目，持续完善工业活动与自然生态的协同发展路径。严格遵守《中华人民共和国环境影响评价法》及其相关法律法规的规定，确保新建项目选址避开自然保护区范围。依据 IUCN 红色名录及国家保护物种名录，对运营点所在区域的生物多样性现状进行综合评估与分析，并据此制定科学的管理与保护规划。对海外采购的原材料进行严格检测，以预防外来物种的入侵风险。严格监控并管理废气、废水及废弃物的排放，以确保不对自然生态环境造成不利影响。与地方监测站携手合作，共同实施物种监测项目，积极推进野生动物保护行动。</t>
  </si>
  <si>
    <t>来源：24年可持续发展报告
根据生物多样性风险评估的结论，公司制定了旨在最小化
业务运营对生物多样性影响的短期及长期管理规划。公司
针对高风险区域，特别制定了生物多样性风险缓解行动方
案，并广泛实施了生态保护和补偿措施，确保运营活动不
对生物多样性构成任何负面影响
在新项目建设与运营全流程中，需参照相关要求进行生物多样性保护和土地利用评估，确保项目开发与运营
地点远离生态保护红线及生态多样性脆弱地区，以保护自然栖息地、湿地、森林、野生动物廊道和农业用地，
尽量降低对周边环境和社区的不利影响</t>
  </si>
  <si>
    <t>生物多样性保护已成为国际可持续披露框架（如TNFD）的重要议题，部分国内可持续发展报告亦开始涉及相关内容。虽然目前钢铁行业企业的披露深度有限，但作为ESG综合绩效的重要组成部分，建议采用定性评价方式，以有无相关制度建设、具体措施和实际成效为评价依据，纳入评价体系以体现企业在生态保护方面的关注程度。</t>
  </si>
  <si>
    <t>公正转型</t>
  </si>
  <si>
    <t>公益捐赠</t>
  </si>
  <si>
    <t>公益捐赠可以适当反映企业在转型过程中对社会公共利益与弱势群体的支持能力，是公正转型中“社会缓冲机制”的重要体现评估企业在公益捐赠上表现出的投入力度与行为稳定性，综合判断其社会承诺的财务实质性及长期可信度。</t>
  </si>
  <si>
    <t>来源：24年可持续发展报告
公益捐赠-社会捐赠总额：8121.33万元</t>
  </si>
  <si>
    <t>来源：2024年可持续发展报告-附录：ESG指标数据
对外捐赠金额：75万元</t>
  </si>
  <si>
    <t>公益捐赠在一定程度上可反映企业对社会公共利益的关注，但与转型绩效评价的核心逻辑相关度较低，且受企业经营状况、行业景气周期等外部因素影响较大，难以有效体现公正转型的实质性内涵。更重要的是，目前主要转型评价框架中鲜有将公益捐赠纳入转型评价指标体系的先例。因此建议删除该指标，转而聚焦员工培训和稳就业与促就业等更具转型针对性的公正转型指标。</t>
  </si>
  <si>
    <t>员工培训</t>
  </si>
  <si>
    <t>本指标用于评估企业是否关注并投入员工能力建设，尤其是在转型相关技能方面。
考虑到企业披露口径差异较大，本指标采用是否类累加赋分方式，不对不同披露口径进行强制可比性要求。</t>
  </si>
  <si>
    <t>公正转型原则。应当关注转型可能产生的经济社会影响，并采取措施缓解负面影响。</t>
  </si>
  <si>
    <t>一（一）2.三是对转型过程中可能产生的经济社会影响，要遵循公正转型原则，做好评估及应对预案。</t>
  </si>
  <si>
    <t>第五十条（三）员工职业发展与培训的基本情况，包括但不限于公司职位体系设置情况，员工晋升、选拔与职业发展机制，员工培训类型、次数、开展情况，以及年度培训支出金额、员工培训覆盖率等。</t>
  </si>
  <si>
    <t xml:space="preserve">
5.5 技能、能力与培训
主体应当披露其为实现转型计划的战略愿景，已采取或计划采取的、用于在全公司范围内评估、维持和培养相应技能、能力与知识的行动相关信息。
披露建议
作为此部分的内容，主体应当披露：
a. 关于主体如何评估其在全公司范围内是否具备有效设计、制定、交付和治理转型计划所需的技能、能力与知识的信息，以符合其战略愿景
b. 当识别到技能缺口时，说明其已采取或计划采取的、用于获取或培养所需技能的行动
c. 关于其已采取或计划采取的、为董事会及高管层提供有效监督转型计划所需的技能、能力与知识的行动信息</t>
  </si>
  <si>
    <t>来源：24年可持续发展报告（当年数据和基准年数据）
报告期内，宝钢股份共开展环保相关培训 5 场，培训总时长为 34 小时，培训 100% 覆盖宝钢股份四大基地及子公司。</t>
  </si>
  <si>
    <t>来源：2024年可持续发展报告（当年数据和基准年数据）
员工培训总人次 72,029，培训费用 865.13 万元
技术人才培训主要着眼于设备类、安全管理类等专技培训。其
中，后备安全专家培训组织了相关技术人员赴各子公司进行现场
实践，该培训历时 18 天，共计 76 人参与，共完成炼铁、炼钢、
轧钢、焦化四个专业新安全风险辨识管控模版的编制；数智化人
才类共计组织 6 个培训项目，包括人工智能平台、数据库应用高
阶等各类培训，共计 166 人参与。此次培训储备了后备安全专家，
提升了技术人才占比。
面向员工和利益相关方开展生物多样性主题教育和培训，提升生物多样性保护意识和专业性
公司重视提升全体员工对能源高效利用的认识与能力，策划并面向全体员工开展了一系列提升能源使用效率的培训项目，包括日常操作工艺节能减排操作要求、管理层面节能减碳软件应用等。同时，公司邀请行业专家进行授课，通过案例与实操演练，让员工深刻理解节能减排的重要性，并掌握实际应用中的节能技巧。</t>
  </si>
  <si>
    <t>员工培训是公正转型的重要维度，反映企业在转型过程中通过能力建设降低技术变革对员工的负面冲击。钢铁行业在推进工艺升级和技术转型过程中，员工技能培训尤为关键，在多个政策框架中均有明确引导。企业通常具备相关披露基础，建议保留该指标，采用定性分档评价方式，重点考察培训投入规模及与转型技能的相关性。</t>
  </si>
  <si>
    <t>稳就业与促就业</t>
  </si>
  <si>
    <t>衡量企业在转型过程中是否避免通过大规模裁员转嫁成本，并通过稳定或扩大就业规模，体现对劳动者和社会的责任承担。</t>
  </si>
  <si>
    <t>第五十条（一）员工的聘用与待遇等方面的政策及执行情况，包括但不限于报告期内吸纳就业、创造灵活就业岗位的情况，期末在职员工的性别、年龄等构成情况，报告期内支付员工工资和缴纳员工社保、公司劳工纠纷、员工变动、对灵活就业人员的权益保障、招聘录用程序合规与公平透明情况等；</t>
  </si>
  <si>
    <t>劳工实践:
1 集体协议涵盖的员工百分比，企业应披露报告日集体协议涵盖的员工总数的百分比。
2 该百分比的计算方法是将集体协议涵盖的员工人数除以雇用的员工总数。
（1）停工次数，实体应披露停工次数、因停工导致的停工总天数（2）总闲置天数
3 该披露不包括因非技术原因导致的停工，例如因待决监管许可而导致的停工，或与社区担忧、社区或利益相关者抵抗或抗议或武装冲突有关的其他延误。
4 实体应提供有关停工的信息，包括相关成本、每次停工的原因（由劳工说明）、对生产的影响、持续停工的状况以及采取的纠正措施。</t>
  </si>
  <si>
    <t>来源：24年可持续发展报告（近三年数据）
附录 1 主要数据指标：雇佣与多元化-员工总数2024年46,048人。</t>
  </si>
  <si>
    <t>来源：24年可持续发展报告（近三年数据）
附录：ESG指标数据-员工基本信息-员工总人数  30,960人</t>
  </si>
  <si>
    <t>稳就业与促就业能够体现企业在转型过程中对劳动者和社会责任的履行程度，是公正转型框架的核心关注点之一。钢铁行业转型可能涉及工艺淘汰和产能调整，就业稳定性评价具有重要的现实意义，且在多个国内政策文件中有明确导向。建议保留该指标，重点评价企业是否避免借转型名义大规模裁员，并通过积极行动稳定和扩大就业。</t>
  </si>
  <si>
    <t>劳动纠纷（负向指标）</t>
  </si>
  <si>
    <t>衡量因转型调整（如岗位重组、合同解除）引发的、并已进入正式法律或仲裁程序的劳资纠纷数量与严重性。
案由关键字：船员劳务合同纠纷、辞退争议、经济性裁员争议、劳动合同纠纷、劳动争议、劳务合同纠纷、离退休人员返聘合同纠纷、确认劳动关系纠纷、社会保险纠纷、职工破产债权确认纠纷、追索劳动报酬纠纷</t>
  </si>
  <si>
    <t>第四条 企业还应当披露本准则第二章至第五章未涵盖的重要的气候相关影响信息。 劳动纠纷可能属于气候相关转型风险（如政策、法律风险）或公正转型影响的体现。</t>
  </si>
  <si>
    <t>来源：中国裁判文书网、地方人社局公布的年度劳动争议典型案例/分析报告</t>
  </si>
  <si>
    <t>劳动纠纷能够从负面视角衡量企业在转型调整过程中劳资关系的稳定程度，是公正转型实施质量的直接佐证。相关数据可通过企业法律纠纷公开记录进行核查，具有较强的可核验性。建议作为可选负向指标纳入体系，与"重大负面舆情"指标共同评价企业在公正转型方面的合规性与社会影响。</t>
  </si>
  <si>
    <t>重大负面舆情（负向指标）</t>
  </si>
  <si>
    <t>系统性量化企业因“公正转型”措施失当，在公开舆论场引发的负面关注与声誉风险。
关键字：
劳工权益类：转型裁员、安置纠纷、买断工龄、再培训缺失、拖欠补偿金、员工抗议、工会协商破裂；
社区影响类：关停冲击、地方经济衰退、税收锐减、产能退出、搬迁争议、环境遗留问题
过程公正类：决策黑箱、缺乏沟通、无视职工意见、突击式关停、政策套利</t>
  </si>
  <si>
    <t>第四条 企业还应当披露本准则第二章至第五章未涵盖的重要的气候相关影响信息。负面舆情可能属于气候相关转型风险中的声誉风险。</t>
  </si>
  <si>
    <t>来源：公开网络</t>
  </si>
  <si>
    <t>重大负面舆情是企业公正转型措施失当所引发的社会反应，能够综合反映企业在转型过程中对员工、社区等利益相关方影响的处置质量。舆情信息来源公开，可核验性较强，且能够捕捉到其他定量指标难以覆盖的软性社会影响。建议作为可选负向指标纳入体系，尤其关注与转型行为直接相关的负面事件。</t>
  </si>
  <si>
    <t>研发与创新</t>
  </si>
  <si>
    <t>研发投入占比</t>
  </si>
  <si>
    <t>以“研发投入 / 研发费用 / 研究与开发支出”等为核心关键词，结合财务报表附注中“研发支出”相关披露，提取企业当期研发投入金额；分母采用“营业收入”口径计算研发投入占比。</t>
  </si>
  <si>
    <t>第十四条 企业应当披露在生产经营过程中开展的有助于减缓和适应气候变化的创新措施和效果，以及为此支付的成本。</t>
  </si>
  <si>
    <t>一（一）2.技术路径应当具有可行性，要遵循先进性原则。（鼓励技术创新）</t>
  </si>
  <si>
    <t>第二十条 披露主体应当积极通过改进工艺、升级生产设备、优化能源结构、提高生产能效、研发和提供绿色产品与服务、改进和强化管理等措施，实现绿色低碳发展，支持美丽中国建设。
第四十二条 （二）开展科技创新的具体情况，包括研发创新管理制度体系建设，参与研发创新、科技合作项目的情况，研发投入金额及占主营业务收入比例、研发人员数量及占比、应用于主营业务的发明专利数量等；</t>
  </si>
  <si>
    <t>引领指标——一级指标高端化——二级指标研发投入占比</t>
  </si>
  <si>
    <t>关于用好绿色金融政策支持绿色工厂建设的通知：研发和产业化应用项目。重点支持传统产业绿色低碳重大工艺革新、“卡脖子”技术、短板装备等攻关和产业化应用项目，以及绿色低碳产业新技术新产品新模式研发应用项目。</t>
  </si>
  <si>
    <t>来源：24年可持续发展报告（近三年数据）
附录 1 主要数据指标：产品及客户服务-研发支出：2024年250.12亿元；经济绩效-营业总收入：2024年3,221.16亿元</t>
  </si>
  <si>
    <t>来源：24年可持续发展报告（当年数据和基准年数据）
附录：ESG指标数据-研发创新与知识产权-研发投入 460,234.09万元</t>
  </si>
  <si>
    <t>研发投入占比能够直接反映企业在创新与技术研发方面的资源投入强度，是衡量企业转型能力的重要前瞻性指标。该指标所需数据在企业财务报告中通常具有较好的披露基础，且在多个国内政策框架中被明确列为评价要素。但考虑到部分企业研发投入与低碳技术的直接关联度难以识别，建议作为可选指标，与"节能技改投资占比"配合使用，从不同维度共同衡量企业的转型投入能力。</t>
  </si>
  <si>
    <t>科研平台</t>
  </si>
  <si>
    <t>是否具备相应资质的研发中心、技术中心、创新中心、重点实验室等企业科研机构。（自有、母公司或控股的钢铁企业亦可）</t>
  </si>
  <si>
    <t>引领指标——一级指标高端化——二级指标科研平台</t>
  </si>
  <si>
    <t>无明确提及</t>
  </si>
  <si>
    <t>来源：24年可持续发展报告
建立系统、高效、覆盖全公司的低碳技术创新研发协同平台</t>
  </si>
  <si>
    <t>前期设置"科研平台"指标，主要是希望通过企业是否拥有国家级或省级研发机构来评价科研实力。但进一步梳理后发现，该指标更多反映的是历史积累与行政认定结果，与低碳转型动态推进的关联度有限，且不同级别平台之间可比性较差。建议删除该指标，将企业科研能力通过研发投入占比和节能技改投资占比等更具直接性的指标予以体现。</t>
  </si>
  <si>
    <t>专利情况</t>
  </si>
  <si>
    <t>以“专利数量、发明专利数量”等关键词为核心，识别分子；分母采用营业收入，计算每单位营收专利拥有量。</t>
  </si>
  <si>
    <t>引领指标——一级指标高端化——二级指标专利情况</t>
  </si>
  <si>
    <t>来源：24年可持续发展报告
附录 1 主要数据指标：产品及客户服务-有效专利数9,707，应用于主营业务的发明专利数量7,292。</t>
  </si>
  <si>
    <t>来源：24年可持续发展报告（当年数据和基准年数据）
附录：ESG指标数据-研发创新与知识产权-累计专利量2,934个，年度新增授权专利总数476个</t>
  </si>
  <si>
    <t>前期设置"专利情况"指标，主要是希望通过单位营收的专利拥有量来衡量企业技术创新能力。但实际梳理中发现，专利数量受行业属性和战略布局差异影响较大，存量专利与低碳转型技术的关联度难以有效识别，且不同企业专利申请策略和口径差异明显，横向可比性受限。建议删除该指标，转而通过研发投入占比和节能技改投资占比等更聚焦的指标评价企业转型技术投入能力。</t>
  </si>
  <si>
    <t>节能技改投资占比</t>
  </si>
  <si>
    <t>以“节能技改 / 技术改造 / 节能改造/超低排放改造投资”等关键词识别企业披露的节能相关技改投资金额，结合“投资金额 / 固定资产投资 / 资本性支出”等表述进行提取；分母统一采用当期营业收入，计算节能技改投资占比。</t>
  </si>
  <si>
    <t>2.转型主体应当制定并披露技术可行的转型计划，主要内容和要求包括：
(2)明确每个阶段的工作计划及重点工作任务；
3.转型主体应当制定并披露清晰合理的融资计划，主要内容和要求包括：(2）计划使用的转型金融工具及不同工具筹集资金的主要用途。</t>
  </si>
  <si>
    <t>1. 系统能效提升; 
1.1 上升管余热回收
1.2 烧结漏风率综合治理
1.3 水封式烧结环冷机
1.4 烧结返矿冷压球团矿
1.5 球团固固换热显热回收
1.6 高炉大比例球团冶炼
1.7 高炉炉顶均压煤气回收
1.8 转炉一次干法净化回收
1.9 转炉中低温余热回收
1.10 电炉烟气显热回收
1.11 高效煤气发电
1.12 低温余热有机工质朗肯循环（ORC）发电
1.13 电机、变压器、水泵、风机等公辅设施能效提升
4. 环保减排改造：
4.2 颗粒物、SO₂、NOₓ等超低排放改造</t>
  </si>
  <si>
    <t>第十二条（一）业务模式当期和预期的变化，包括其应对气候相关风险和机遇的资源配置（如管理或者退出关于碳、能源或者水密集型业务的计划，因需求或者供应链变化导致的资源配置，通过资本支出或者额外研发支出进行业务发展所产生的资源配置，收购或者剥离等）。
第二十七条（五）资本配置——针对气候相关风险和机遇发生的资本支出、融资或者投资金额。</t>
  </si>
  <si>
    <t>一（一）3.投资活动要在《河北省钢铁行业转型金融支持经济活动目录（2025年版）》范围内（目录中包含重点工序节能提效活动）</t>
  </si>
  <si>
    <t>第二十条 披露主体应当积极通过改进工艺、升级生产设备、优化能源结构、提高生产能效、研发和提供绿色产品与服务、改进和强化管理等措施，实现绿色低碳发展，支持美丽中国建设。
第三十五条 （三）能源节约目标以及具体措施，包括但不限于采购节能生产设备、节能照明设备、节能温控设备，采用余热余压利用、能源梯级利用等措施，能源使用存在的具体困难（如有）。</t>
  </si>
  <si>
    <t>关于用好绿色金融政策支持绿色工厂建设的通知：技术改造升级项目。重点支持企业实施节能降碳、节水减污、资源循环利用、清洁原料燃料替代、环保装备升级、数字化绿色化协同升级以及工业绿色微电网、数字化能碳管理中心、绿色数据中心等绿色低碳改造升级项目。
《绿色金融支持项目目录（2025 年版）》：重点工业行业绿色低碳转型，针对钢铁、有色金属、石化化工、建材等高碳排行业，从节能降碳改造和能效提升、工艺改进和流程优化以及数字化、智能化升级三大路径支持工业领域低碳转型，并严格要求单位产品能耗指标值达到最新版《工业重点领域能效标杆水平和基准水平》（2023年版）规定的相应行业产品能效标杆水平。</t>
  </si>
  <si>
    <t>CTF：要素1.发行人的气候转型战略和治理：推荐信息和指标：应具体列出实现温室气体减排的主要杠杆，例如详细的资本支出（CapEx）计划及相关技术影响（即计划支出金额、实施此类CapEx项目所考虑的碳成本、运营影响、监管考虑等）
CTB：在无法制定范围3温室气体排放KPI/SPT的情况下，发行人可以考虑使用“绿色”资本支出（CapEx）KPI或辅助指标，以展示他们在行业内减少温室气体排放的承诺和进展</t>
  </si>
  <si>
    <t>转型投资：
3.3 绿色和脱碳的百分比（占年度投资）；按照企业是否有目标和数据及其器详细程度，并根据降碳数据梯度，分6个评分阈值（0-75%）进行评价；
3.4 绿色脱碳投资比率（绿色转型与脱碳的比值）。按照企业是否有目标和数据及其详细程度，并根据降碳数据梯度，分6个评分阈值（0-75%）进行评价；</t>
  </si>
  <si>
    <t>来源：24年可持续发展报告（近三年数据）
2024 年节能低碳投资18.9亿元；
附录 1 主要数据指标：营业总收入3,221.16亿元；</t>
  </si>
  <si>
    <t>来源：24年可持续发展报告
节能项目总投资2.3亿元</t>
  </si>
  <si>
    <t>节能技改投资占比直接反映企业在节能降碳技术改造方面的资金投入力度，是衡量企业转型实施进度的核心量化指标之一。相关数据通常在可持续发展报告或企业公告中有所披露，且在国内多个转型金融和行业政策框架中均被明确列为评价要素，具备较好的横向可比性，建议作为转型表现维度的核心量化指标予以保留。</t>
  </si>
  <si>
    <t>环保投入金额占比</t>
  </si>
  <si>
    <t>以“环保投入 / 环保投资 / 环境保护支出”等关键词为核心，识别企业披露的污染防治、环保设施及相关投入金额；分母采用营业收入，计算环保投入占比。</t>
  </si>
  <si>
    <t>第三十条（二）对污染物的处理技术和处理方式，污染防治设施的建设、运行情况和实施成果（例如排放浓度、强度或排放总量的降幅）；</t>
  </si>
  <si>
    <t>来源：24年可持续发展报告（近三年数据）
报告期内，宝钢股份在环保方面的费用化投入为100.755 亿元，资本化项目投入为4.835亿元。
附录 1 主要数据指标：营业总收入3,221.16亿元；</t>
  </si>
  <si>
    <t>来源：24年可持续发展报告
环保项目总投资4.5亿元</t>
  </si>
  <si>
    <t>环保投入金额占比能够反映企业在污染防治与环保设施方面的资金投入强度，与减污降碳协同治理目标高度契合。该指标所需数据通常可从可持续发展报告中提取，但各企业口径存在一定差异，跨企业可比性有待进一步统一。建议作为可选指标纳入评价体系，与"节能技改投资占比"形成互补，从污染防治投入角度丰富转型绩效维度的评价内涵。</t>
  </si>
  <si>
    <t>前沿技术</t>
  </si>
  <si>
    <t>企业是否布局钢铁行业前沿技术研发，例如高炉富氢改造、氢直接还原铁、氢熔融还原铁工艺的研发和试验项目建设</t>
  </si>
  <si>
    <t xml:space="preserve">2.转型主体应当制定并披露技术可行的转型计划，主要内容和要求包括：
(1)对照短、中、长期碳减排目标，明确每个阶段的转型技术路径，该技术路径应当具有可行性和先进性； </t>
  </si>
  <si>
    <t>6.冶炼技术突破 
 6.1电炉短流程炼钢
 6.2副产煤气或天然气直接还原炼铁
 6.3富氢碳循环高炉
 6.4熔融还原炼铁
 6.5全氢气基直接还原炼铁
8.碳回收利用 
 8.1二氧化碳捕集利用与封存
 8.2炉窑等尾气回收二氧化碳及利用
 8.3喷吹二氧化碳炼钢</t>
  </si>
  <si>
    <t>一（一）2.技术路径应当具有可行性，要遵循先进性原则。
一（一）3.投资活动要在《河北省钢铁行业转型金融支持经济活动目录（2025年版）》范围内（目录中包含可再生能源制氢
气和氧气用于钢铁冶炼、富氢碳循环高炉、全氢气基直接还原炼铁、二氧化碳捕集利用与封存等先进技术）</t>
  </si>
  <si>
    <t>第四十二条（三）取得的研发进展及成果、获得的专业资质和重要奖项等，包括报告期内发明专利的申请数和授权数、有效专利数，高新技术企业认定情况、国家科学技术奖项获奖情况等；</t>
  </si>
  <si>
    <t xml:space="preserve">《钢铁行业稳增长工作方案（2025—2026年）》：推进绿色低碳改造。......支持氢冶金等低碳共性技术攻关，加快推进绿电、绿氢、纯氢冶金一体化工艺技术和装备中试验证和产业化.......
</t>
  </si>
  <si>
    <t>来源：24年可持续发展报告
报告期内，作为中国宝武氢还原电熔炼工艺HyRESP）的核心装备，220t 高效绿色电炉于 2024 年 4 月 11 日在宝钢股份湛江钢铁开工建设，拉开了宝钢湛江钢铁零碳高等级薄钢板工厂项目开工的序幕，预计 2025 年底建成，届时与前期建成的氢基竖炉结合，将具备年产约 180 万吨低碳板材能力。</t>
  </si>
  <si>
    <t>来源：24年可持续发展报告
公司积极发展低碳冶金技术，通过持续探索氢冶金技术、智能全氧燃烧技术等，在提高生产效率的同时减少钢铁生产过程中
的碳排放，实现钢铁生产的绿色化、低碳化
案例：大冶特钢——利用氢能全氧燃烧技术优势，成功实施全国首例低碳加热炉应用实践
案例：天津钢管——环形加热炉纯氧改造项目，绿色低碳先进技术新典范
案例：靖江特钢——近零碳排电炉示范项目
案例：青岛特钢——成功研发特焊材料，助力突破 CCUS 技术瓶颈
案例：天津钢管——突破 CCUS 抗腐管线管技术，为管材应用树立新标杆</t>
  </si>
  <si>
    <t>前期设置"前沿技术"指标，主要是希望通过识别氢冶金、CCUS等低碳前沿技术的研发与应用情况，评价企业技术转型的深度与前瞻性。但进一步梳理后发现，该指标与"冶炼技术突破"在评价对象和内容上高度重叠，存在重复计量风险。因此建议删除单独设置的"前沿技术"指标，将相关内容统一纳入"冶炼技术突破"模块，通过前沿低碳冶炼技术相关关键字进行综合识别和定性评价。</t>
  </si>
  <si>
    <t>行业特定</t>
  </si>
  <si>
    <t>煤炭消耗比例</t>
  </si>
  <si>
    <t>企业在生产过程中，煤炭（包含焦炭、动力煤、喷吹煤等）提供的能量占综合能源消耗总量的比例。该比例下降，意味着企业正在使用天然气、氢能或绿电来替代煤炭。这是能源结构清洁化的直接体现。</t>
  </si>
  <si>
    <t>1.系统能效提升: 1.1 上升管余热回收；1.7高炉炉顶均压煤气回收； 1.8转炉一次干法净化回收；1.9转炉中低温余热回收；1.10电炉烟气显热回收；1.11高效煤气发电
2. 清洁能源替代: 2.1 分布式光伏发电技术; 2.2 储热调峰; 2.3可再生能源制氢气和氧气用于钢铁冶炼
6.冶炼技术突破 
 6.1电炉短流程炼钢
 6.5全氢气基直接还原炼铁</t>
  </si>
  <si>
    <t>实体应披露 （2） 消耗的煤炭燃料的百分比。
2.1 百分比应按煤炭消耗量（以 GJ 为单位）除以燃料消耗总量（以 GJ 为单位）计算。
2.2 消耗的煤炭范围可能包括动力煤、冶金煤、焦炭和焦粉。</t>
  </si>
  <si>
    <t>来源：2024年可持续发展报告-附录：ESG指标数据
无烟煤消耗量、烟煤消耗量、洗精煤消耗量、焦炭消耗量</t>
  </si>
  <si>
    <t>前期设置"煤炭消耗比例"、"入炉球团矿比例"、"高炉燃料比"、"余能余热回收"和"电炉钢产量占比"五个指标，目的是从多维度细化评价企业生产过程中的降碳表现。但进一步对照《转型金融支持经济活动目录（钢铁行业）》政策文件后发现，上述五个指标本质上均可归纳为钢铁行业"系统能效提升"这一核心领域，分散设置容易造成指标口径不齐和重复识别。因此，建议将上述指标统一归纳为"系统能效提升"模块，通过能效提升相关技术关键字进行综合定性评价，突出钢铁行业系统性降碳的整体转型路径。</t>
  </si>
  <si>
    <t>入炉球团矿比例</t>
  </si>
  <si>
    <t>钢铁行业的长流程（炼铁）环节有“烧结”和“球团”这两个工序。 传统的“烧结”工序是钢铁厂最大的污染源和高耗能环节之一；而“球团”工序相对更清洁、能耗更低。提高球团矿比例（降低烧结矿比例），可以直接降低炼铁前工序的能耗和碳排放。</t>
  </si>
  <si>
    <t>1. 系统能效提升; 
1.4 烧结返矿冷压球团矿
1.5 球团固固换热显热回收
1.6 高炉大比例球团冶炼</t>
  </si>
  <si>
    <t>入炉球团矿比例与煤炭消耗比例、高炉燃料比、余能余热回收等同属钢铁行业系统能效提升的具体技术路径，其本质均体现企业通过工艺优化降低单位产出能耗和碳排放的实践。分散设置难以保持口径统一，建议统一纳入"系统能效提升"综合模块进行定性评价。</t>
  </si>
  <si>
    <t>高炉燃料比</t>
  </si>
  <si>
    <t>高炉燃料比是指每炼1吨合格生铁所消耗的入炉燃料总量，通常以千克/吨（kg/t）为单位。它综合反映了高炉冶炼过程中燃料的消耗水平，是衡量高炉炼铁效率和能源利用效果的关键指标。</t>
  </si>
  <si>
    <t xml:space="preserve">1. 系统能效提升; 
1.1 上升管余热回收
1.2 烧结漏风率综合治理
1.3 水封式烧结环冷机
1.4 烧结返矿冷压球团矿
1.5 球团固固换热显热回收
1.6 高炉大比例球团冶炼
1.8 转炉一次干法净化回收
</t>
  </si>
  <si>
    <t>《钢铁行业（高炉炼铁）清洁生产评价指标体系》高炉燃料比的清洁生产等级一级≤495，二级≤515，三级≤530kg/t
《工业重点领域能效标杆水平和基准水平（2023年版）》：高炉工序单位产品千克标准煤能耗标杆水平为361kgce/t，对应燃料比需结合具体工艺和原燃料条件综合评估，但该指标更侧重综合能耗。</t>
  </si>
  <si>
    <t>来源：2024年可持续发展报告-附录：ESG指标数据
高炉燃料比2024年数据是514.68千克/吨铁</t>
  </si>
  <si>
    <t>高炉燃料比是衡量高炉炼铁效率和能源利用水平的关键指标，与煤炭消耗比例、入炉球团矿比例等共同反映钢铁长流程的能效表现。但由于单项指标披露不稳定，难以在企业间进行有效横向对比，建议统一纳入"系统能效提升"模块进行综合定性评价。</t>
  </si>
  <si>
    <t>余能余热回收</t>
  </si>
  <si>
    <t>钢铁行业余能余热是指在钢铁生产过程中，除满足生产工艺本身需求外剩余的热能和能量，主要包括余热、余压、余气等形式。
余能余热的来源：高温烟气余热、冷却水余热、炉渣余热、煤气余能、余压能量
余能余热的利用方式：余热发电、余热供热、煤气综合利用、余热制冷</t>
  </si>
  <si>
    <t xml:space="preserve">1.系统能效提升: 1.1 上升管余热回收；1.7高炉炉顶均压煤气回收；1.9转炉中低温余热回收；1.10电炉烟气显热回收；1.11高效煤气发电；1.12低温余热有机工质朗肯循环（ORC）发电
</t>
  </si>
  <si>
    <t>《钢铁行业节能降碳专项行动计划》（发改环资〔2024〕730号），提出以下重点任务：到2025年，余热余能自发电率提高3个百分点以上
《工业绿色微电网建设与应用指南（2026—2030年）》明确要求充分利用钢铁行业焦炉、高炉、转炉副产煤气及其显热、余压，建设工业余能分级高效回收利用体系。中高品位余热资源优先供给区域内有用热需求的企业，用于驱动蒸汽轮机、预热空气、干燥物料等；剩余余热、余压、余气用于发电、接入储能或供应暖（冷）气、热水等。</t>
  </si>
  <si>
    <t>来源：2024年可持续发展报告-附录：ESG指标数据
余热发电下披露了“自有余热发电消耗量”和“余热发电系统装机容量”</t>
  </si>
  <si>
    <t>余能余热回收是钢铁行业通过过程能量梯级利用实现节能降碳的重要路径，涵盖余热发电、余压利用、煤气综合利用等多种形式。该技术路径已在多个行业政策文件中有明确要求，但独立披露情况参差不齐，建议统一纳入"系统能效提升"模块，通过关键字识别进行定性综合评价。</t>
  </si>
  <si>
    <t>电炉钢产量占比</t>
  </si>
  <si>
    <t>钢铁电炉钢属于短流程炼钢工艺。短流程炼钢以废钢为主要原料，通过电炉冶炼、精炼、连铸和轧制等工序生产钢材，省去了传统长流程炼钢中的焦化、烧结、高炉炼铁等环节，具有流程短、投资少、能耗低、碳排放少等优势。</t>
  </si>
  <si>
    <t>6.冶炼技术突破 
 6.1电炉短流程炼钢</t>
  </si>
  <si>
    <t>《工业领域碳达峰实施方案》（工信部联节〔2022〕88号），进一步提出推进氢基竖炉直接还原铁、碳捕集利用封存等技术的示范推广，稳步提高电炉短流程的发展，并在2025年短流程炼钢占比达15%以上、2030年达20%以上的量化目标。
《2024-2025年节能降碳行动方案》（国发〔2024〕12号），到2025年底，电炉钢产量占粗钢总产量比例力争提升至15%，废钢利用量达到3亿吨。</t>
  </si>
  <si>
    <t>活动指标包括：
粗钢产量，百分比来自：(1) 碱性氧气炉工艺、(2) 传统电弧炉工艺和 (3) 氢直接还原工艺
铁矿石总产量
焦煤总产量
再生钢产量</t>
  </si>
  <si>
    <t>电炉钢产量占比是体现钢铁短流程转型进度的核心指标，直接反映企业工艺路线向低碳方向转变的实质程度。与煤炭消耗比例等行业指标并列，共同构成系统能效评价框架的重要组成部分，建议统一纳入"系统能效提升"模块，并根据相关数据披露情况决定是否提取为独立定量子指标。</t>
  </si>
  <si>
    <t>违反产能置换（负面指标）</t>
  </si>
  <si>
    <t>根据《钢铁行业产能置换实施办法》及相关政策要求，对于违反产能置换规定的企业，相关部门会采取公示、通报等措施进行公开曝光。例如，中央环保督察组在检查中发现企业存在违规产能问题后，会将问题企业及整改情况向社会公示，接受公众监督。此外，省级工业和信息化主管部门也会对违规企业的产能置换方案及整改情况在官方网站进行公示，公示期一般不少于15个工作日。</t>
  </si>
  <si>
    <t>基础指标（二）工艺装备。所有冶炼设备须具备完备的项目建设手续，严格执行《钢铁行业产能置换实施办法》要求，现有主体工艺技术及装备符合《产业结构调整指导目录》要求，不存在淘汰类工艺技术及装备。</t>
  </si>
  <si>
    <t>工信部原材料工业司2025年发布了《钢铁行业产能置换实施办法（征求意见稿）》：各省（区、市）炼铁、炼钢产能置换比例均不低于1.5:1。对2021年6月1日之后兼并重组新取得的合规产能用于项目建设的，各省（区、市）炼铁、炼钢产能置换比例均不低于1.25:1。
关于促进钢铁工业高质量发展的指导意见
工信部联原〔2022〕6号：坚持总量控制。优化产能调控政策，深化要素配置改革，严格实施产能置换，严禁新增钢铁产能，扶优汰劣，鼓励跨区域、跨所有制兼并重组，提高产业集中度。</t>
  </si>
  <si>
    <t>来源：公开信息</t>
  </si>
  <si>
    <t>违反产能置换属于重大合规风险事件，能够从行业政策合规角度反映企业的转型遵从度，具有一定的评价参考价值。但考虑到此类事件通常会引发较大范围的负面舆情，其影响已基本涵盖于"重大负面舆情"指标的识别范围之内，存在重复计量风险。为避免指标体系冗余，建议不单独设置，相关情形通过"重大负面舆情"指标加以综合覆盖。</t>
  </si>
  <si>
    <t>超低排放改造进程</t>
  </si>
  <si>
    <t>超低排放改造进程=（SOx排放量+NOx排放量+颗粒物排放量）/当年粗钢产量​
超低排放改造是指对工业生产过程中的重点行业（如火电、钢铁、水泥、焦化等）实施全面的大气污染治理升级改造，旨在使企业生产过程中产生的大气污染物排放浓度达到极低水平，接近或低于天然气燃气轮机组的排放标准。
具体而言，超低排放改造的核心目标是通过技术手段，对生产环节中的有组织排放（如烟囱排放）、无组织排放（如物料储存、输送过程中的逸散）以及运输环节的污染物排放进行严格控制，实现颗粒物、二氧化硫、氮氧化物等主要污染物排放浓度显著降低。</t>
  </si>
  <si>
    <t>4.环保减排改造； 4.2 颗粒物、SO2、NOx等超低排放改造</t>
  </si>
  <si>
    <t>一（一）3.投资活动要在《河北省钢铁行业转型金融支持经济活动目录（2025年版）》范围内（目录中包含超低排放改造活动）</t>
  </si>
  <si>
    <t>《关于推进实施钢铁行业超低排放的意见》:到2025年底前，重点区域钢铁企业超低排放改造基本完成，全国力争80%以上产能完成改造。
关于促进钢铁工业高质量发展的指导意见
工信部联原〔2022〕6号：全面推动钢铁行业超低排放改造，加快推进钢铁企业清洁运输，
2025 年最新发布的《绿色工厂评价通则》（GB/T 36132-2025）；废气（SO₂、NOx、VOCs）、废水（COD、氨氮）的排放浓度需严于国家或地方标准 50% 以上，且满足区域污染物总量控制要求；无组织排放需符合《挥发性有机物无组织排放控制标准》（GB 37822）。</t>
  </si>
  <si>
    <t>1 该实体应披露其排放到大气中的空气污染物排放量，以每种污染物的公吨为单位。
3 该实体应披露其（1）（2）氮氧化物（NOx）的排放量，报告为NOx。
4 实体应披露其 (2)(3) 硫氧化物SOx的排放量，报告为 SOx。
5 该实体应披露其（4）直径为10微米或更小的颗粒物（PM10）的排放量，报告为PM10。</t>
  </si>
  <si>
    <t>来源：24年可持续发展报告
废气指标下披露了硫氧化物、氮氧化物、颗粒物的排放总量</t>
  </si>
  <si>
    <t>来源：24年可持续发展报告-附录：ESG指标数据
废气排放下披露了硫氧化物、氮氧化物、颗粒物的排放总量</t>
  </si>
  <si>
    <t>前期曾考虑删除"超低排放改造进程"指标，主要因其在不同企业间披露口径不一致，定量评价存在困难。但在进一步对照《转型金融支持经济活动目录（钢铁行业）》等政策文件后发现，超低排放改造是钢铁行业转型评价的关键维度，具有重要的政策导向意义。因此，建议调整评价方式，将企业是否已完成或正在推进超低排放改造的定性表述作为识别依据，纳入"环保减排改造"模块，采用关键字识别和定性分档评价。</t>
  </si>
  <si>
    <t>系统能效提升</t>
  </si>
  <si>
    <t>企业通过全流程深度优化与多种相关技术手段协同提升能源利用效率，从而降低单位产出能耗和碳排放，最终使能源利用效率达到行业最优甚至接近极限水平。包括相关节能降碳技术与“极致能效”称号。</t>
  </si>
  <si>
    <t>"系统能效提升"综合反映企业通过工艺优化、能源利用效率提升及余能回收等措施实现节能降碳的整体表现，覆盖传统行业指标（煤炭消耗比例、高炉燃料比、余能余热回收等）所描述的多个降碳路径，是钢铁行业转型实施层面的核心综合性指标。建议采用定性分档评价方式，依据企业是否具有具体实践项目进行赋分，重点突出转型实施的深度与系统性。</t>
  </si>
  <si>
    <t>环保减排改造</t>
  </si>
  <si>
    <t>企业通过系统性工程改造与全国全过程控制，使污染物排放水平大幅低于常规标准，实现钢铁等高排放行业的深度环境治理与绿色转型。主要包括超低排放改造完成情况。</t>
  </si>
  <si>
    <t>"环保减排改造"集中反映企业超低排放改造的推进情况，具有明确的政策导向与行业标准支撑。通过识别企业是否已完成或正在推进超低排放改造，能够从实施层面直接判断企业的减排进展，是钢铁行业绿色转型的重要评价依据。建议作为定性指标予以保留，重点关注改造完成率和达标程度。</t>
  </si>
  <si>
    <t>冶炼技术突破</t>
  </si>
  <si>
    <t>企业通过开发和应用前沿性关键低碳冶炼技术，改变传统高碳生产路径。包括氢冶金、CCUS、电炉短流程炼钢等前沿技术。</t>
  </si>
  <si>
    <t>"冶炼技术突破"聚焦钢铁生产过程中前沿低碳冶炼技术（如氢冶金、CCUS、富氧冶炼等）的研发与应用情况，能够体现企业在突破性技术路径上的实质性投入与进展，是衡量企业长期减排潜力的重要前瞻性指标。建议设置技术清单，采用关键字识别方式，按照有无具体项目实践进行定性分档评价，以体现不同技术成熟度和推进阶段的差异。</t>
  </si>
  <si>
    <t>数字化赋能</t>
  </si>
  <si>
    <t>企业在智能制造方面的相关表现，包括人工智能应用、数字化工厂、工业互联网、物联网等。</t>
  </si>
  <si>
    <t>"数字化赋能"从新质生产力应用视角反映企业智能制造与数字化转型的实践情况，包括人工智能应用、数字化工厂、工业互联网等领域，既是提升生产效率和降低能耗的重要手段，也是支撑能源管理和碳排放精准监测的技术基础。建议采用关键字识别方式，对企业披露的数字化智能化技术实践情况进行定性分档评价。</t>
  </si>
  <si>
    <t>产品结构优化</t>
  </si>
  <si>
    <t>企业通过调整产品类型与生产结构，用更高性能、更高附加值、更低碳的产品替代高消耗、低性能、低附加值的传统产品。主要包括高端产品布局与质量奖等。</t>
  </si>
  <si>
    <t>"产品结构优化"集中反映企业通过调整产品结构、提高高端产品占比和质量认证水平，实现从低附加值、高能耗产品向高性能、绿色化产品的转型升级。该指标能够从产品维度综合评价企业转型的市场成效，建议采用关键字识别方式进行定性评价，重点关注企业高端产品比例、绿色认证及质量荣誉等维度的综合表现。</t>
  </si>
  <si>
    <t>废钢回收率</t>
  </si>
  <si>
    <t>衡量企业利用废钢资源的效率，包括内部回收和社会回收的废钢量占总粗钢产量的比例。</t>
  </si>
  <si>
    <t>3. 资源循环利用： 3.3 废钢回收加工配送</t>
  </si>
  <si>
    <t>一（一）3.投资活动要在《河北省钢铁行业转型金融支持经济活动目录（2025年版）》范围内（目录中包含废钢回收加工配送活动）</t>
  </si>
  <si>
    <t>《产业结构调整指导目录（2024年本）》：《目录》在鼓励类中增加了黑色金属矿山开采和废钢回收、拆解、除油、加工、分类、配送一体化等方向，鼓励企业开展铁矿山开发和废钢回收加工，提升钢铁产业链资源保障水平，补足资源短板。
《再生材料应用推广行动方案》二、提升再生材料供给保障能力
（一）增强再生钢铁供应保障能力。鼓励在电炉钢产能集中区
域建设大型废钢加工配送中心，推动废钢铁回收、拆解、加工、配送一体化发展，提高废钢铁分类分级水平，推动废钢铁资源高效回收利用。鼓励有条件的钢铁企业对现有高炉－转炉炼钢进行工艺改造，有序发展全废钢电弧炉短流程炼钢，加强优质再生钢铁生产供应，探索建立从回收加工到生产冶炼的全流程溯源体系。</t>
  </si>
  <si>
    <t>1 （1）废物产生的废物量，（2）产生的危险废物百分比，（3）废物回收百分比
3 该实体应披露（3）产生的废物中已回收利用的质量百分比，以公吨为单位。
4 企业应披露用于定义废物、危险废物和可回收废物的框架，以及根据每个适用框架定义的相关数量和百分比。</t>
  </si>
  <si>
    <t>来源：24年可持续发展报告、24年年度报告（近三年数据）
附录 1 主要数据指标：循环经济-废钢回收量：2024年1,074万吨 
公司年报：产销量情况分析表-生产量合计</t>
  </si>
  <si>
    <t>没有披露，只披露了一家子公司从社会回收的废钢比例</t>
  </si>
  <si>
    <t>废钢回收率是衡量企业资源循环利用效率的重要指标，直接反映企业在原料端的绿色化程度。提高废钢利用比例是钢铁行业实现减碳的重要路径之一，与电炉短流程炼钢密切相关，且在多个行业政策文件中均有明确要求。企业通常具备相关披露基础，数据可比性较好，建议保留该指标并采用定量评价方式，作为行业特定指标纳入评价体系。</t>
  </si>
  <si>
    <t>未来潜力</t>
  </si>
  <si>
    <t>产业布局</t>
  </si>
  <si>
    <t>数智化布局</t>
  </si>
  <si>
    <t>核心含义：企业在智能制造、数字化工厂、工业互联网、物联网上的规划。
例子：建设智能工厂、数字化物流系统、能源管理系统。</t>
  </si>
  <si>
    <t>7. 数字化赋能  
 7.1高级计划排程技术
 7.2加热炉智能燃烧系统
 7.3煤气预测与调度优化
 7.4高炉数字孪生
 7.5操作远程化、无人化、集控化技术
 7.6产线智能化改造</t>
  </si>
  <si>
    <t>第十二条（一）业务模式当期和预期的变化，包括其应对气候相关风险和机遇的资源配置（如管理或者退出关于碳、能源或者水密集型业务的计划，因需求或者供应链变化导致的资源配置，通过资本支出或者额外研发支出进行业务发展所产生的资源配置，收购或者剥离等）。</t>
  </si>
  <si>
    <t>一（一）3.投资活动要在《河北省钢铁行业转型金融支持经济活动目录（2025年版）》范围内（目录中包含产线智能化改造、高炉数字孪生、数字智能供电、智慧能源管理系统等技术）</t>
  </si>
  <si>
    <t>第四十二条（四）科技创新成果及其应用对推动发展新质生产力的作用，以及对经济、社会、环境和利益相关方的影响等。</t>
  </si>
  <si>
    <t>工业和信息化部《钢铁企业规范条件（2025年版）》中智能化引领指标：积极推进数字化转型和智能化升级，落实《钢铁行业数字化转型实施指南》，开展智能制造能力成熟度评估评价，开展场景化、图谱化数字化转型，参与制定钢铁行业智能制造、数字化转型领域标准，创建智能工厂，参考《智能制造典型场景参考指引》《工业互联网与钢铁行业融合应用参考指南》，创新典型应用场景。</t>
  </si>
  <si>
    <t>《绿色金融支持项目目录（2025 年版）》：重点工业行业绿色低碳转型，针对钢铁、有色金属、石化化工、建材等高碳排行业，从节能降碳改造和能效提升、工艺改进和流程优化以及数字化、智能化升级三大路径支持工业领域低碳转型，并严格要求单位产品能耗指标值达到最新版《工业重点领域能效标杆水平和基准水平》（2023年版）规定的相应行业产品能效标杆水平。
《钢铁行业稳增长工作方案（2025—2026年）》：加快数字化转型。落实《钢铁行业数字化转型实施指南》，研究制定钢铁行业数字化转型水平评估标准，开展数字化转型评估诊断，培育数字化转型典型场景、标杆工厂、标杆企业。推动“人工智能+钢铁行业”发展，支持优势企业、科研院所、高校等建立数据资源节点，建设高质量数据集；加快推进工艺装备智能化适配性改造，以应用场景为牵引、通用大模型为底座、冶金机理为基础同步推进通用垂直大模型和场景小模型应用。加快推动钢铁行业重点企业工业操作系统更新替代。
关于促进钢铁工业高质量发展的指导意见
工信部联原〔2022〕6号：（十）大力发展智能制造。开展钢铁行业智能制造行动计划，推进5G、工业互联网、人工智能、商用密码、数字孪生等技术在钢铁行业的应用，在铁矿开采、钢铁生产领域突破一批智能制造关键共性技术，遴选一批推广应用场景，培育一批高水平专业化系统解决方案供应商。开展智能制造示范推广，打造一批智能制造示范工厂。建设钢铁行业大数据中心，提升数据资源管理和服务能力。依托龙头企业推进多基地协同制造，在工业互联网框架下实现全产业链优化。鼓励企业大力推进智慧物流，探索新一代信息技术在生产和营销各环节的应用，不断提高效率、降低成本。构建钢铁行业智能制造标准体系，积极开展基础共性、关键技术和行业应用标准研究。</t>
  </si>
  <si>
    <t>数字化转型水平 来源：公开信息，关键字“两化融合管理体系认证”
人工智能应用 来源：24年可持续发展报告-深化智慧制造，加快基于机器学习的数智化转型
智能制造成熟度 来源：无
智能制造标准  来源：24年可持续发展报告-宝钢股份持续探索与供应商及其他行业引领者的战略合作，充分发挥自身技术和创新优势。我们积极参与行业交流与分享，通过参与行业标准制定、开展行业伙伴战略合作以及推进产学研合作，助力钢铁工业高质量发展。宝钢股份参与《钢铁企业 ( 超低排放 ) 无组织颗粒物排放源清单编制技术指南》与《钢铁企业 ( 超低排放 ) 无组织颗粒物排放源监测监控系统技术要求》标准的编制并完成发布。
智能制造示范 来源：工业和信息化部https://www.miit.gov.cn/jgsj/zbys/wjfb/art/2025/art_a5307d7932024d56bf3be162b2ed065b.html、工业互联网试点示范名单等等。/24年可持续披露报告-2024 年，宝钢全面启动智慧制造战略，致力于在钢铁行业中树立智能工厂的国家标杆。宝钢股份宝山基地电工钢全业务要素协同智能工厂、东山基地超高强钢精益柔性生产智能工厂成功入选、获评首批国家卓越级智能工
厂。</t>
  </si>
  <si>
    <t xml:space="preserve">数字化转型水平 来源：公开信息，关键字“两化融合管理体系认证”-无
人工智能应用 来源：24年可持续发展报告-组织落实2024年人工智能
推进工作：公司结合特钢多品种小批量、工艺流程复杂、产品技术含量高等
特点，确定13项人工智能核心项目。同时，公司组建以特钢技术人员为主的
专业推进组，并携手百度、阿里等科技领军企业，成立了人工智能联合攻关团队，共同为技术突破提供坚实支撑
智能制造成熟度 来源：。2024年，兴澄特钢通过智能制造能力成熟度4级评估
智能制造标准  来源：24年可持续发展报告-主持制定团体标准2项，参与制定国际标准、行业标准、铁路标准各1项。中信泰富特钢参与审定中钢协团体标准“低碳排放钢评价方法”，助力价值链低碳转型
智能制造示范 来源：24年可持续发展报告-；大冶特钢获评“工信部2024数字领航企业”、；青岛特钢获评全国首批卓越级智能工厂；青岛特钢、扬州特材两大案例成功入选工信部“钢铁行业重点场景数字化转型典型案例”；靖江特钢、扬州特材入选江苏省工业互联网平台名单。
</t>
  </si>
  <si>
    <t>在报告梳理过程中发现，前期在"数智化布局"中分别设置的"数字化转型水平"、"智能制造成熟度"、"智能制造标准"和"智能制造示范"四个指标，存在数据缺失、口径不统一和横向可比性不足等问题，独立评价的操作性有限。因此建议删除"数智化布局"模块，将相关内容统一整合为"数字化赋能"，通过《转型金融支持经济活动目录（钢铁行业）》所涵盖的数字化赋能技术关键字，对企业在智能制造方面的实践情况进行综合定性评价，兼顾覆盖范围和指标精简性。</t>
  </si>
  <si>
    <t>高端化布局</t>
  </si>
  <si>
    <t>核心含义：企业产品结构升级、高附加值钢材研发、国际市场开拓。
例子：高强钢、汽车用钢、航空航天用钢生产线。</t>
  </si>
  <si>
    <t>工业和信息化部《钢铁企业规范条件（2025年版）》中高端化引领指标：（一）高端化。强化科技创新能力培育，建立科研机构，加大研发投入，持续提升企业工艺技术和产品创新能力，注重标准制修订和知识产权保护，强化企业质量品牌建设，积极培育制造业单项冠军企业。</t>
  </si>
  <si>
    <t xml:space="preserve">《钢铁行业稳增长工作方案（2025—2026年）》：增强高端产品供给能力。聚焦高端装备、核心基础零部件等领域所需高性能轴承钢、齿轮钢、高温合金、工模具钢等关键钢材，组织钢铁企业联合上下游企业、高校、科研院所等开展产业链协同攻关。持续发挥船舶与海工、超超临界等新材料重点平台作用，加快产品应用验证和迭代升级。
《钢铁行业稳增长工作方案（2025—2026年）》：促进国际化发展。落实《关于应征国内环节税货物出口优化服务规范管理有关事项的公告》要求。强化钢铁产品出口管理，维护出口竞争秩序。开展高技术含量钢铁产品界定工作，优化钢铁出口产品结构。推动形成互相认可的产品标准、碳足迹核算体系。支持企业遵循国际贸易规则，依法依规开展钢铁产品国际贸易，融入国际供应链体系，提高国际竞争力。加强与共建“一带一路”国家及地区产业协作，引导钢铁产品与装备、技术、服务等协同走出去
</t>
  </si>
  <si>
    <t>国际市场 来源：24年年度报告（近三年数据）—出口销量 606.7 万吨，产销量情况分析表-销售量 5,159万吨
高端产品布局 来源：24年可持续发展报告-公司提出“2+2+N”产品战略，即以汽车用钢和硅钢为核心，长材和厚板为重点，拓展其他产品领域，全面布局精品长材与高端厚板两大战略产品。
质量奖 来源：24年可持续发展报告/公司年报/公开信息
单项冠军 来源：全国/各省工业和信息化厅</t>
  </si>
  <si>
    <t>国际市场 来源：24年年度报告（近三年数据）-。2024 年公司实现钢材销量1889.0万吨，其中出口销量220.2万吨；
高端产品布局 来源：24年年度报告-中信泰富特钢《（汽车用）特殊钢PCR》再获行业殊荣，树立低碳高质量发展典范；天津钢管——突破CCUS抗腐管线管技术，为管材应用树立新标杆
质量奖 来源：24年可持续发展报告/公司年报/公开信息
单项冠军 来源：全国/各省工业和信息化厅/24年可持续披露报告-青岛特钢——“钢帘线用硬线材”荣登国家制造业单项冠军榜单，创新引领产业链绿色转型与低碳突破；青岛特钢、天津钢管分别荣获工信部制造业单项冠军</t>
  </si>
  <si>
    <t>前期在"高端化布局"中设置"国际市场"和"单项冠军"两个指标，初衷是从国际竞争力和专项认定角度综合反映企业高端化发展水平。但进一步梳理后发现，两个指标与低碳转型绩效的关联度较弱，且数据完整性和可比性均有不足，难以作为稳定评价指标使用。因此建议删除上述两个指标，仅保留"高端产品布局"和"质量奖"内容，统一整合至"产品结构优化"模块，通过关键字识别进行聚焦性定性评价。</t>
  </si>
  <si>
    <t>绿色低碳布局</t>
  </si>
  <si>
    <t>核心含义：企业未来在绿色生产、低碳产品、节能减排设施上的投资计划和产能布局。
例子：增加绿色钢材产线、建设氢冶金试验装置、绿色原料采购基地。</t>
  </si>
  <si>
    <t>转型金融是指为减缓气候变化、推动高碳排放领域向低碳排放或净零排放转型的经济活动和企业提供的金融服务。</t>
  </si>
  <si>
    <t>钢铁行业转型金融标准的目的就是帮助行业绿色低碳化</t>
  </si>
  <si>
    <t>工业和信息化部《钢铁企业规范条件（2025年版）》中绿色化引领指标：绿色化。积极推进绿色、低碳发展，推广应用先进绿色低碳工艺技术，建设应用工业绿色微电网，开展节能降碳技术改造，争创环保绩效 A 级、能效“标杆水平”。开发生产绿色产品，创建绿色工厂，鼓励培育创建“无废企业”。鼓励企业关停退出烧结机、焦炉、高炉等传统设备，转型发展低碳炼铁、电炉炼钢。鼓励开展产品碳足迹（CFP）、环境产品声明（EPD）、产品全生命周期评价（LCA）及环境、社会和公司治理（ESG）等工作。</t>
  </si>
  <si>
    <t>《钢铁行业稳增长工作方案（2025—2026年）》：推进绿色低碳改造。推进落实《关于推进实施钢铁行业超低排放的意见》，2025 年底前全面完成超低排放改造目标任务。支持钢铁企业实施能效提升改造，推进清洁能源替代。推动开展钢铁行业减污降碳协同增效技术路径研究。支持氢冶金等低碳共性技术攻关，加快推进绿电、绿氢、纯氢冶金一体化工艺技术和装备中试验证和产业化。推动行业企业建设一批数字化能碳管理中心。加快构建钢铁产品碳足迹核算标准体系，加强碳计量管理，提高碳核算数据质量，做好纳入全国碳排放权交易市场后的配额交易与清缴工作。
关于促进钢铁工业高质量发展的指导意见
工信部联原〔2022〕6号：深入推进绿色低碳。落实钢铁行业碳达峰实施方案，统筹推进减污降碳协同治理。支持建立低碳冶金创新联盟，制定氢冶金行动方案，加快推进低碳冶炼技术研发应用。支持构建钢铁生产全过程碳排放数据管理体系，参与全国碳排放权交易。开展工业节能诊断服务，支持企业提高绿色能源使用比例。全面推动钢铁行业超低排放改造，加快推进钢铁企业清洁运输，完善有利于绿色低碳发展的差别化电价政策。积极推进钢铁与建材、电力、化工、有色等产业耦合发展，提高钢渣等固废资源综合利用效率。大力推进企业综合废水、城市生活污水等非常规水源利用。推动绿色消费，开展钢结构住宅试点和农房建设试点，优化钢结构建筑标准体系；建立健全钢铁绿色设计产品评价体系，引导下游产业用钢升级。</t>
  </si>
  <si>
    <t>可再生能源资产配置 来源：24年可持续发展报告（近三年)-厂内可再生能源装机累计容量 419MW  ；24年年度报告（近三年)-固定资产149,566,709,306.48元
超低排放改造 来源：24年可持续发展报告-宝钢股份持续推进废气排放设备升级工作，搭建了废气处理设备提升改造体系，牢筑废气治理屏障，支撑公司实现全面
的超低排放。2024 年，宝钢股份深入开展设备升级工作，对所有设备的运行情况进行全面的评估，持续提升设备运行效率，
将超低排放管理理念融入生产制造环节。
绿色制造 来源：全国/各省工业和信息化部官方发布的绿色制造单位名单（绿色工厂和绿色供应链管理企业名单）
极致能效 来源：中国钢铁工业协会官网发布的“极致能效工程能效标杆示范企业”或“双碳最佳实践能效标杆示范厂”名单
环境管理  来源： 24年可持续发展报告-宝钢股份生产基地全获 ISO 50001能源管理体系认证</t>
  </si>
  <si>
    <t>可再生能源资产配置 来源：24年可持续发展报告-可再生能源装机容量：光伏185兆瓦，风电12兆瓦。
超低排放改造 来源：23年可持续发展报告-截至2024年底，兴澄特钢、青岛特钢、天津钢管已完成全流程超低排放改造，同时被评定为环保绩效“A级企
业”，大冶特钢已开展全流程超低排放改造工作，努力实现创A绩效目标。
绿色制造 来源：24年可持续发展报告-兴澄特钢、大冶特钢、青岛特钢、扬州特材被列入工信部“绿色工厂”名单
极致能效 来源：中国钢铁工业协会官网/24年可持续披露报告-兴澄特钢、大冶特钢、青岛特钢、天津钢管入选“双碳最佳实践能效标杆示范厂”培育企
环境管理  来源：24年可持续披露报告-中信泰富特钢旗下各子公司100%通过ISO 50001能源管理体系认证；。公司不断强化环境管理体系建设，旗下各子公司100%通过了ISO 14001 环境管理体系认证；</t>
  </si>
  <si>
    <t>前期在"绿色低碳布局"中设置"可再生能源资产配置"、"绿色制造"和"环境管理"三个指标，旨在全面反映企业绿色低碳布局情况。但进一步梳理后发现，上述指标数据缺失较为严重，横向可比性不足，且与转型实际表现的直接关联度有限。因此建议删除该子模块，将其中有价值的内容分别纳入已有指标框架：将"超低排放改造"整合至"环保减排改造"，将"极致能效"整合至"系统能效提升"，通过关键字识别进行评价，在保持内容覆盖的同时避免冗余。</t>
  </si>
  <si>
    <t>企业可持续披露准则第1号—气候</t>
  </si>
  <si>
    <t>河北省钢铁转型金融指引</t>
  </si>
  <si>
    <t>沪深北披露指引</t>
  </si>
  <si>
    <t>工信部《钢铁行业规范条件（2025年版）》</t>
  </si>
  <si>
    <t>IIGCC</t>
  </si>
  <si>
    <t>TPI</t>
  </si>
  <si>
    <t>惠誉常青</t>
  </si>
  <si>
    <t>TCFD</t>
  </si>
  <si>
    <t>TPT</t>
  </si>
  <si>
    <t>SASB</t>
  </si>
  <si>
    <t>GFANZ</t>
  </si>
  <si>
    <t>✔</t>
  </si>
  <si>
    <t>企业如尚未制定专门的转型规划，是否已建立低碳与可持续治理的制度与行动框架</t>
  </si>
  <si>
    <t>实施保障</t>
  </si>
  <si>
    <t>治理</t>
  </si>
  <si>
    <t>其他环境表现</t>
  </si>
  <si>
    <t>未入选指标</t>
  </si>
  <si>
    <t>转型举措</t>
  </si>
  <si>
    <t>能耗强度/能耗达标</t>
  </si>
  <si>
    <t>分值关系</t>
  </si>
  <si>
    <t>指标因子</t>
  </si>
  <si>
    <t>问题</t>
  </si>
  <si>
    <t>判断依据/计算公式</t>
  </si>
  <si>
    <t>分档</t>
  </si>
  <si>
    <t>对应分值</t>
  </si>
  <si>
    <t>空值处理</t>
  </si>
  <si>
    <t>数据长度</t>
  </si>
  <si>
    <t>必填</t>
  </si>
  <si>
    <t>获取频度</t>
  </si>
  <si>
    <t>数据粒度</t>
  </si>
  <si>
    <t>参考数据</t>
  </si>
  <si>
    <t>技术校验规则</t>
  </si>
  <si>
    <t>业务校验规则</t>
  </si>
  <si>
    <t>数据来源</t>
  </si>
  <si>
    <t>数据来源接口</t>
  </si>
  <si>
    <t>备注</t>
  </si>
  <si>
    <t>比重系数</t>
  </si>
  <si>
    <t>目标与战略（25分）</t>
  </si>
  <si>
    <t>企业承诺转型目标与国家碳达峰碳中和目标一致，服务于国家碳达峰碳中和目标；制定减排目标是指企业制定短期（如2024-2025年）、中期（2026-2030年）和长期（至2060年）的目标，且目标符合所在行业的先进性水平</t>
  </si>
  <si>
    <t>相等</t>
  </si>
  <si>
    <t>中和年份承诺与覆盖度</t>
  </si>
  <si>
    <t>计算原始得分 = 基础分 × 范围系数
1. 基础分（时间维度）
若无目标或年份 &gt; 2060：0 分
若年份 ≤ 2050：10 分
若 2050 &lt; 年份 ≤ 2060：
基础分 = 10 − 0.4 × (年份 − 2050)
（说明：每晚 1 年扣 0.4 分，2060 年得 6 分）
2. 范围系数
仅覆盖部分区域 / 子公司 / 单一工序范围1：0.5
仅覆盖部分区域 / 子公司 / 单一工序范围1+2：0.6
覆盖部分区域 / 子公司 / 单一工序范围1+2+3：0.7
覆盖全集团范围 1：0.8
覆盖全集团范围 1+2：1
覆盖全集团范围 1+2+3（含重要供应链）：1.2
对计算结果做0-12的分布</t>
  </si>
  <si>
    <t>适用规则A（强制-赋0）</t>
  </si>
  <si>
    <t>公司可持续发展报告</t>
  </si>
  <si>
    <t>(0, 3]</t>
  </si>
  <si>
    <t>(3, 6]</t>
  </si>
  <si>
    <t>(6, 9]</t>
  </si>
  <si>
    <t>(9, 12]</t>
  </si>
  <si>
    <t>达峰年份承诺与覆盖度</t>
  </si>
  <si>
    <t>计算原始得分 = 基础分 × 范围系数
1. 基础分（时间维度，0–10 分）
无目标：0分
承诺年份 &gt; 2030：3 分
承诺年份=2030，6分
承诺年份 ≤ 2025 或已明确达峰：10 分
2025 &lt; 年份 ≤ 2030：
基础分 = 10 − 0.8 × (年份 − 2025)
（说明：2030 年达峰得 6 分，每提前 1 年加 0.8 分）
2. 范围系数
仅覆盖部分区域 / 子公司 / 单一工序范围1：0.5
仅覆盖部分区域 / 子公司 / 单一工序范围1+2：0.6
覆盖部分区域 / 子公司 / 单一工序范围1+2+3：0.7
覆盖全集团范围 1：0.8
覆盖全集团范围 1+2：1
覆盖全集团范围 1+2+3（含重要供应链）：1.2
对计算结果做0-12的分布</t>
  </si>
  <si>
    <t>公司可持续发展报告、公开网络信息</t>
  </si>
  <si>
    <t>企业制定的环境目标的结构完整性与目标质量</t>
  </si>
  <si>
    <t>公式：得分=目标数量得分(S)+目标质量得分(Q)
S按企业覆盖的不同目标类型数量计分：
覆盖 0 类：S = 0
覆盖 1 类：S = 1
覆盖 2 类：S = 2
覆盖 3 类：S = 3
覆盖 ≥4 类：S = 4
Q对每一项目标按质量赋值
• 定性表述（无量化）：0.5 分
• 部分量化（有数值但无基准年或目标年）：1.0 分
• 完整量化（指标 + 基准年 + 目标年）：2.0 分
选取质量得分最高的 3 项目标，相加后Q满分 6 分</t>
  </si>
  <si>
    <t>适用规则D（补充-P50）</t>
  </si>
  <si>
    <t>(0, 2]</t>
  </si>
  <si>
    <t>(2, 4]</t>
  </si>
  <si>
    <t>(4, 6]</t>
  </si>
  <si>
    <t>(6, 8]</t>
  </si>
  <si>
    <t>(8, 10]</t>
  </si>
  <si>
    <t>是否制定转型规划以及完善程度</t>
  </si>
  <si>
    <t>以下按单项累加赋分:
1、企业编制并披露正式的转型规划、转型战略或减排路径图
2、明确路径：披露覆盖短中长期的关键里程碑和实施路线图。
3、定量测算：对主要转型措施的预期减排量或减排贡献进行量化测算（tCO₂e、强度变化等）。
4、温控对标：明确说明转型路径与全球 2°C 目标或更先进的温控目标保持一致。
5、国家对标：转型目标或阶段性指标达到或优于国家相关部门发布的能效、排放或技术基准（如能效标杆、行业规范条件）。
6、国际先进性：说明所采用的方法或情景（如 IEA NZE、SBTi）。
7、自身减排措施：是否披露为实现低碳转型，当前已实施或计划实施的关键减排与转型措施（能源替代、循环经济、低碳工艺、低碳资本支出、碳管理与碳交易、绿色供应链等）</t>
  </si>
  <si>
    <t>(8, 14]</t>
  </si>
  <si>
    <t>若企业没有指定专门的转型规划，是否形成覆盖公司层面的低碳/可持续发展顶层战略或专项行动框架</t>
  </si>
  <si>
    <t>若企业尚未制定专门的转型规划，企业是否编制并披露至少一项以低碳、节能、气候、ESG或可持续发展为核心主题的公司层级顶层战略文件或专项行动方案
（一）文件形式关键词（至少命中 1 类）
• 规划 / 战略 / 行动方案 / 行动计划 / 管理办法 / 实施方案• 中长期规划• 专项方案• 指导意见
（二）主题关键词（至少命中 1 类）
低碳/气候/能效类：• 绿色低碳• 双碳• 减碳 / 碳减排• 能效提升• 节能降碳• 气候变化 / 气候风险
ESG / 可持续治理类：• ESG• 可持续发展• 环境、社会及管治• 绿色发展• 供应链减碳 / 绿色供应链</t>
  </si>
  <si>
    <t>否</t>
  </si>
  <si>
    <t>是</t>
  </si>
  <si>
    <t>实施保障（20分）</t>
  </si>
  <si>
    <t>治理架构完善程度</t>
  </si>
  <si>
    <t>以下按单项累加赋分:
• 设立专职部门或明确牵头部门：2分
• 明确由高管层成员分管相关事务：2分
• 建立跨部门协作机制，例如设立工作小组：2分
• 董事会下设专门委员会：2分
• 董事会在章程/议事规则中明确承担ESG/可持续/低碳/转型等战略统筹和监督职责：2分
• 明确将低碳转型目标和战略纳入薪酬激励措施：2分</t>
  </si>
  <si>
    <t>(8, 12]</t>
  </si>
  <si>
    <t>气候风险管理体系完善程度</t>
  </si>
  <si>
    <t>以下按单项累加赋分:
• 流程：是否明确描述 ≥2 个气候风险管理环节（如识别、评估、监测、应对）—2分
• 战略：是否明确表述气候风险被纳入公司整体风险管理、战略规划或ESG重大决策—2分
• 治理：是否明确气候风险管理治理架构（董事会/委员会/管理层）—2分
• 制度：是否有气候风险管理规章制度或管理办法文件—2分
• 是否有气候风险管理数字化系统，或建立常态化监测机制—2分
• 是否将气候风险纳入考核机制或激励政策—2分</t>
  </si>
  <si>
    <t xml:space="preserve">风险与机遇识别完善程度
</t>
  </si>
  <si>
    <t>以下按单项累加赋分:
（1）识别完整性
— 同时识别转型风险与实体风险/物理风险：2 分
— 风险类型覆盖 3 类及以上（政策/技术/市场/声誉/信用等）：2 分
— 同时识别明确的气候相关机遇：2 分
（2）财务影响识别
— 明确风险或机遇与财务结果存在关联：2 分
— 对财务影响进行量化分析：2 分
（3）应对气候影响的措施
— 针对上述识别风险制定了应对措施：2分</t>
  </si>
  <si>
    <t>气候压力测试完善程度</t>
  </si>
  <si>
    <t>以下按单项累加赋分:
（1）情景分析开展与情景设置
明确披露已开展气候情景分析或压力测试：2 分
情景同时覆盖转型风险与实体风险：2 分
情景包含短中长期时间维度（如 2030 / 2050 或等效表述）：2分
设置多个情景用于对比分析（如低碳转型情景与基准情景、不同实体风险情景）：2分
（2）方法论参考与结果应用
明确引用 IFRS S2、IEA、IPCC 或行业权威研究作为情景或方法论来源：2 分
情景分析结果用于评估对经营、财务或风险管理的影响：1 分
明确说明情景分析结果被用于战略、投资、风险应对或管理决策：1 分</t>
  </si>
  <si>
    <t>转型表现（55分）</t>
  </si>
  <si>
    <t>披露完整度</t>
  </si>
  <si>
    <t>企业披露情况，按分档进行赋分；
- 0分：企业未披露范围1、范围2、范围3任意一个，直接赋分0；
- 2.5分：仅披露“范围1”或仅披露总量未区分范围
- 5分：完整披露范围1 和 范围2，未披露范围3
- 7.5分：披露范围1、范围2和范围3中的1-2个类别
- 10分：披露范围1、范围2，范围3的披露满足以下任一条件
a) 类别数量 ≥3
b) 包含“类别1：购买的商品/服务”关键项</t>
  </si>
  <si>
    <t>未披露</t>
  </si>
  <si>
    <t>仅披露范围1</t>
  </si>
  <si>
    <t>披露范围1和范围2</t>
  </si>
  <si>
    <t>披露范围1、范围2和范围3中的1-2个类别</t>
  </si>
  <si>
    <t>披露范围1、范围2和范围3中的至少3个类别，或至少包含“类别1：购买的商品/服务”关键项</t>
  </si>
  <si>
    <t>环比变化（30%） + 当期横向位置（70%）</t>
  </si>
  <si>
    <t>环比变化</t>
  </si>
  <si>
    <r>
      <t xml:space="preserve">（一）当期物理碳强度计算
当期物理碳强度=当年碳排放量÷当年粗钢产量
单位：吨二氧化碳 / 吨钢
（二）环比变化维度（30%）
1. 环比变化率计算
环比变化率 = (上年物理碳强度 - 当期物理碳强度) ÷ 上年物理碳强度
说明：环比变化率大于0表示碳强度较上年下降，转型表现为正；数值越大表现越好。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t>
    </r>
    <r>
      <rPr>
        <sz val="11"/>
        <color theme="1"/>
        <rFont val="Times New Roman"/>
        <charset val="134"/>
      </rPr>
      <t>•</t>
    </r>
    <r>
      <rPr>
        <sz val="11"/>
        <color theme="1"/>
        <rFont val="仿宋_GB2312"/>
        <charset val="134"/>
      </rPr>
      <t xml:space="preserve"> 当 企业环比变化率 ≤ P10 变化率 时，环比得分 = 0
</t>
    </r>
    <r>
      <rPr>
        <sz val="11"/>
        <color theme="1"/>
        <rFont val="Times New Roman"/>
        <charset val="134"/>
      </rPr>
      <t>•</t>
    </r>
    <r>
      <rPr>
        <sz val="11"/>
        <color theme="1"/>
        <rFont val="仿宋_GB2312"/>
        <charset val="134"/>
      </rPr>
      <t xml:space="preserve"> 当 企业环比变化率 ≥ P90 变化率 时，环比得分 = 10
</t>
    </r>
    <r>
      <rPr>
        <sz val="11"/>
        <color theme="1"/>
        <rFont val="Times New Roman"/>
        <charset val="134"/>
      </rPr>
      <t>•</t>
    </r>
    <r>
      <rPr>
        <sz val="11"/>
        <color theme="1"/>
        <rFont val="仿宋_GB2312"/>
        <charset val="134"/>
      </rPr>
      <t xml:space="preserve"> 当 P10 变化率 &lt; 企业环比变化率 &lt; P90 变化率 时：
环比得分 = 10 ×（企业环比变化率 </t>
    </r>
    <r>
      <rPr>
        <sz val="11"/>
        <color theme="1"/>
        <rFont val="宋体-简"/>
        <charset val="134"/>
      </rPr>
      <t>−</t>
    </r>
    <r>
      <rPr>
        <sz val="11"/>
        <color theme="1"/>
        <rFont val="仿宋_GB2312"/>
        <charset val="134"/>
      </rPr>
      <t xml:space="preserve"> P10 变化率）÷（P90 变化率 </t>
    </r>
    <r>
      <rPr>
        <sz val="11"/>
        <color theme="1"/>
        <rFont val="宋体-简"/>
        <charset val="134"/>
      </rPr>
      <t>−</t>
    </r>
    <r>
      <rPr>
        <sz val="11"/>
        <color theme="1"/>
        <rFont val="仿宋_GB2312"/>
        <charset val="134"/>
      </rPr>
      <t xml:space="preserve"> P10 变化率）</t>
    </r>
  </si>
  <si>
    <t>企业改进率 ≤ P10 改进率</t>
  </si>
  <si>
    <t>适用规则B（强制-赋0）</t>
  </si>
  <si>
    <t>公司可持续发展报告、公司年度报告</t>
  </si>
  <si>
    <t>P10 改进率 &lt; 企业改进率 &lt; P90 改进率</t>
  </si>
  <si>
    <t>环比得分
= 10 ×（企业环比变化率 − P10 变化率）÷（P90 变化率 − P10 变化率）</t>
  </si>
  <si>
    <t>企业改进率 ≥ P90 改进率</t>
  </si>
  <si>
    <t>当期横向位置</t>
  </si>
  <si>
    <r>
      <rPr>
        <sz val="11"/>
        <color theme="1"/>
        <rFont val="仿宋_GB2312"/>
        <charset val="134"/>
      </rPr>
      <t xml:space="preserve">当期横向位置维度（70%）
1. 指标表现排序
物理碳强度为反向指标，数值越低表示碳排放控制表现越好。
对行业内披露了当期物理碳强度的所有有效样本企业，按数值从小到大（由优到劣）进行排序，确定企业名次。数值最小的排名第1。2. 排名归一化赋分
计算公式：
当期得分 = 10 × (N - 企业当期名次) ÷ (N - 1)
说明：
</t>
    </r>
    <r>
      <rPr>
        <sz val="11"/>
        <color theme="1"/>
        <rFont val="Times New Roman"/>
        <charset val="134"/>
      </rPr>
      <t>•</t>
    </r>
    <r>
      <rPr>
        <sz val="11"/>
        <color theme="1"/>
        <rFont val="仿宋_GB2312"/>
        <charset val="134"/>
      </rPr>
      <t xml:space="preserve"> N 为参与排名的有效样本总数（即披露了该项数据的企业数量）。
</t>
    </r>
    <r>
      <rPr>
        <sz val="11"/>
        <color theme="1"/>
        <rFont val="Times New Roman"/>
        <charset val="134"/>
      </rPr>
      <t>•</t>
    </r>
    <r>
      <rPr>
        <sz val="11"/>
        <color theme="1"/>
        <rFont val="仿宋_GB2312"/>
        <charset val="134"/>
      </rPr>
      <t xml:space="preserve"> 排名第1（碳强度最低）的企业得满分10分，排名最后（第N名，碳强度最高）的企业得0分。
</t>
    </r>
    <r>
      <rPr>
        <sz val="11"/>
        <color theme="1"/>
        <rFont val="Times New Roman"/>
        <charset val="134"/>
      </rPr>
      <t>•</t>
    </r>
    <r>
      <rPr>
        <sz val="11"/>
        <color theme="1"/>
        <rFont val="仿宋_GB2312"/>
        <charset val="134"/>
      </rPr>
      <t xml:space="preserve"> 若企业未披露当期碳排放及产量数据，该项得分为0分。</t>
    </r>
  </si>
  <si>
    <t>企业排名最后</t>
  </si>
  <si>
    <t>P10 &lt; 企业指标值 &lt; P90</t>
  </si>
  <si>
    <t>当期得分
=10 × (N - 企业当期名次) ÷ (N - 1)</t>
  </si>
  <si>
    <t>企业指标值 ≥ P90</t>
  </si>
  <si>
    <t>（一）当期营收碳排放强度计算
当期营收碳排放强度 = 当年碳排放量 ÷ 营业收入
单位：吨二氧化碳 / 万元
（二）环比变化维度（30%）
1. 环比变化率计算
环比变化率 =（上年营收碳排放强度 − 当期营收碳排放强度）÷ 上年营收碳排放强度
环比变化率大于 0 表示单位营收对应的碳排放水平较上年下降，转型表现为正。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 当 企业环比变化率 ≤ P10 变化率 时，环比得分 = 0
• 当 企业环比变化率 ≥ P90 变化率 时，环比得分 = 10
• 当 P10 变化率 &lt; 企业环比变化率 &lt; P90 变化率 时：
环比得分 = 10 ×（企业环比变化率 − P10 变化率）÷（P90 变化率 − P10 变化率）</t>
  </si>
  <si>
    <t xml:space="preserve">当期横向位置维度（70%）
1. 行业分位区间确定
对行业内所有企业当期营收碳排放强度进行排序，确定：
P10 营收碳排放强度 = 行业内当期营收碳排放强度的第 10 分位值
P90 营收碳排放强度 = 行业内当期营收碳排放强度的第 90 分位值
说明：营收碳排放强度为反向指标，数值越低表示单位营收对应的碳排放水平越低，表现越好。
2. 行业维度归一化赋分
在区间 [P10 营收碳排放强度，P90 营收碳排放强度] 内进行反向线性归一映射：
当 企业当期营收碳排放强度 ≥ P90 营收碳排放强度 时，当期得分 = 0
当 企业当期营收碳排放强度 ≤ P10 营收碳排放强度 时，当期得分 = 10
当 P10 营收碳排放强度 &lt; 企业当期营收碳排放强度 &lt; P90 营收碳排放强度 时：
当期得分 = 10 ×（P90 营收碳排放强度 − 企业当期营收碳排放强度）÷（P90 营收碳排放强度 − P10 营收碳排放强度）
</t>
  </si>
  <si>
    <t>企业指标值 ≤ P10</t>
  </si>
  <si>
    <t>当期得分
= 10 ×（企业当期指标值 − P10）÷（P90 − P10）</t>
  </si>
  <si>
    <t xml:space="preserve">自发可再生能源电量，是指企业在自身生产经营边界内，通过自建或控股的可再生能源发电设施，所产生并被企业自身消费的电力。
能源消耗总量：企业当期披露的能源消耗总量（单位 MWh）
</t>
  </si>
  <si>
    <t>（一）当期自发可再生能源电量占比计算
当期自发可再生能源电量占比
= 当年企业自发可再生能源发电量 ÷ 当年总能源消耗量
单位：%
注：
自发可再生能源包括但不限于：光伏、风电、生物质能、水电等企业自建或自持发电设施所产生的电量；
能源消耗总量以企业披露的当期能源消耗总量（统一折算为 MWh）为准。
（二）环比变化维度（30%）
1. 环比变化率计算
环比变化率 =（当期自发可再生能源电量占比 − 上年自发可再生能源电量占比）÷ 上年自发可再生能源电量占比
环比变化率大于 0 表示企业自发可再生能源使用水平较上年提升。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当 企业环比变化率 ≤ P10 变化率 时，环比得分 = 0
当 企业环比变化率 ≥ P90 变化率 时，环比得分 = 10
当 P10 变化率 &lt; 企业环比变化率 &lt; P90 变化率 时：
环比得分 = 10 ×（企业环比变化率 − P10 变化率）÷（P90 变化率 − P10 变化率）</t>
  </si>
  <si>
    <t>适用规则C（鼓励-P25）</t>
  </si>
  <si>
    <r>
      <t xml:space="preserve">当期横向位置维度（70%）
1. 行业分位区间确定
对行业内所有企业当期自发可再生能源电量占比进行排序，确定：
P10 占比 = 行业内当期自发可再生能源电量占比的第 10 分位值
P90 占比 = 行业内当期自发可再生能源电量占比的第 90 分位值
说明：自发可再生能源电量占比为正向指标，数值越高表示表现越好。
2. 行业维度归一化赋分
在区间 [P10 占比，P90 占比] 内进行线性归一映射：
当 企业当期占比 ≤ P10 占比 时，当期得分 = 0
当 企业当期占比 ≥ P90 占比 时，当期得分 = 10
当 P10 占比 &lt; 企业当期占比 &lt; P90 占比 时：
当期得分 = 10 ×（企业当期占比 </t>
    </r>
    <r>
      <rPr>
        <sz val="11"/>
        <color theme="1"/>
        <rFont val="宋体-简"/>
        <charset val="134"/>
      </rPr>
      <t>−</t>
    </r>
    <r>
      <rPr>
        <sz val="11"/>
        <color theme="1"/>
        <rFont val="仿宋_GB2312"/>
        <charset val="134"/>
      </rPr>
      <t xml:space="preserve"> P10 占比）÷（P90 占比 </t>
    </r>
    <r>
      <rPr>
        <sz val="11"/>
        <color theme="1"/>
        <rFont val="宋体-简"/>
        <charset val="134"/>
      </rPr>
      <t>−</t>
    </r>
    <r>
      <rPr>
        <sz val="11"/>
        <color theme="1"/>
        <rFont val="仿宋_GB2312"/>
        <charset val="134"/>
      </rPr>
      <t xml:space="preserve"> P10 占比）</t>
    </r>
  </si>
  <si>
    <t>（一）当期外购绿电占比计算
当期外购绿电占比= 当年企业外购绿电电量 ÷ 当年总能源消耗量
单位：%
注：
外购绿电包括通过绿电交易、清洁电力采购、绿色电力协议（PPA）以及绿证对应电量等方式获得的可再生能源电力；
若企业明确披露当期未采购绿电，则该指标取值为 0。
（二）环比变化维度（30%）
1. 环比变化率计算
环比变化率 =（当期外购绿电占比 − 上年外购绿电占比）÷ 上年外购绿电占比
2. 行业分位区间确定
对行业内所有企业的"环比变化率"进行排序，确定：
P10 变化率 = 行业内环比变化率的第 10 分位值
P90 变化率 = 行业内环比变化率的第 90 分位值
3. 归一化赋分
当 企业环比变化率 ≤ P10 变化率 时，环比得分 = 0
当 企业环比变化率 ≥ P90 变化率 时，环比得分 = 10
当 P10 变化率 &lt; 企业环比变化率 &lt; P90 变化率 时：
环比得分 = 10 ×（企业环比变化率 − P10 变化率）÷（P90 变化率 − P10 变化率）</t>
  </si>
  <si>
    <t>当期横向位置维度（70%）
1. 行业分位区间确定
对行业内所有企业当期外购绿电占比进行排序，确定：
P10 占比 = 行业内当期外购绿电占比的第 10 分位值
P90 占比 = 行业内当期外购绿电占比的第 90 分位值
说明：外购绿电占比为正向指标，数值越高表示表现越好。
2. 行业维度归一化赋分
当 企业当期占比 ≤ P10 占比 时，当期得分 = 0
当 企业当期占比 ≥ P90 占比 时，当期得分 = 10
当 P10 占比 &lt; 企业当期占比 &lt; P90 占比 时：
当期得分 = 10 ×（企业当期占比 − P10 占比）÷（P90 占比 − P10 占比）
（四）综合得分
综合得分 = 环比得分 × 30% + 当期得分 × 70%</t>
  </si>
  <si>
    <t>吨钢耗新水量，指企业在生产过程中对粗钢生产所消耗的新鲜水资源量
用水效率（吨钢耗新水量）= 当期新水消耗量 ÷ 当期粗钢产量
单位：立方米/吨粗钢</t>
  </si>
  <si>
    <t>（一）计算指标
用水效率（吨钢耗新水量）= 当期新水消耗量 ÷ 当期粗钢产量
单位：立方米/吨粗钢
说明：
用水效率为反向指标，数值越低表示单位产量新水消耗水平越优。
（二）环比变化维度（30%）
1. 环比变化率计算
环比变化率 =（上年吨钢耗新水量 − 当期吨钢耗新水量）÷ 上年吨钢耗新水量
环比变化率大于 0 表示单位产量新水消耗量较上年下降，转型表现为正。
2. 行业分位区间确定
对行业内所有企业的环比变化率进行排序，确定：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时，环比得分 = 0
• 当 企业环比变化率 ≥ P90 变化率 时，环比得分 = 10
• 当 P10 变化率 &lt; 企业环比变化率 &lt; P90 变化率 时：
环比得分 = 10 ×（企业环比变化率 − P10 变化率）÷（P90 变化率 − P10 变化率）</t>
  </si>
  <si>
    <t>当期横向位置维度（70%）
1. 行业分位区间确定
对行业内所有企业当期吨钢耗新水量进行排序，确定：
P10 吨钢耗新水量 = 行业内当期吨钢耗新水量的第 10 分位值
P90 吨钢耗新水量 = 行业内当期吨钢耗新水量的第 90 分位值
2. 行业维度归一化赋分（反向）
在区间 [P10 吨钢耗新水量，P90 吨钢耗新水量] 内进行反向线性归一映射：
• 当 企业当期吨钢耗新水量 ≥ P90 吨钢耗新水量 时，当期得分 = 0
• 当 企业当期吨钢耗新水量 ≤ P10 吨钢耗新水量 时，当期得分 = 10
• 当 P10 吨钢耗新水量 &lt; 企业当期吨钢耗新水量 &lt; P90 吨钢耗新水量 时：
当期得分 = 10 ×（P90 吨钢耗新水量 − 企业当期吨钢耗新水量）÷（P90 吨钢耗新水量 − P10 吨钢耗新水量）</t>
  </si>
  <si>
    <t>累加</t>
  </si>
  <si>
    <t>企业是否在报告或规划文件中披露其在生物多样性或生态保护方面建立了相应的管理制度、组织安排或管理机制。</t>
  </si>
  <si>
    <t xml:space="preserve">关键词范围（示例）
（一）生物多样性 / 生态 / 自然相关关键词（A 类）
生物多样性
生物多样性保护
生物多样性管理
生态保护
生态系统保护
自然生态保护
自然栖息地
栖息地保护
生态红线
生态敏感区
重要生态功能区
自然资源保护
自然资本
生态环境保护
（二）管理 / 制度 / 治理关键词
管理制度
管理办法
管理体系
管理机制
管理要求
管理责任
治理体系
内部控制
工作机制
组织架构
职责分工
管理流程
管理规划
保护制度
保护规划
保护方案
行动方案
工作方案
专项规划
专项管理办法
管理细则
指引
工作要求
企业披露以下任一情形 → 得 3 分：
- 披露与生物多样性、生态保护或自然栖息地保护相关的管理制度、管理办法或制度性文件；
- 在公司治理或环境管理体系中，明确将生物多样性或生态保护纳入管理范畴（如作为环境管理、自然资源管理的一部分）；
- 披露设立或明确负责生态保护、生物多样性或自然保护事务的管理部门、工作机制或职责分工；
- 在企业环境、ESG 或可持续发展管理框架中，明确提出生物多样性保护的管理要求或管理目标。
</t>
  </si>
  <si>
    <t>企业是否披露其在自然栖息地保护、生物多样性保护或生态修复方面采取了具体行动或措施。</t>
  </si>
  <si>
    <t>关键词范围（示例）
- 栖息地保护 / 恢复
- 生物多样性恢复
- 生态修复
- 生态治理
- 矿区复绿 / 厂区复绿
- 湿地保护 / 修复
- 物种保护
- 自然生态修复工程
企业披露以下任一情形 ：
- 开展生态修复或栖息地保护项目
- 实施生物多样性恢复或生态治理行动
- 对生产活动造成的生态影响采取修复措施</t>
  </si>
  <si>
    <t>企业是否真实投入并系统性披露员工能力建设，并通过加分识别其是否将培训与绿色低碳、数字化等转型目标相结合。</t>
  </si>
  <si>
    <t>分档赋分：
企业报告或相关文件中未披露员工转型相关培训、能力建设、技能提升相关信息→  0 分
披露转型间接相关技能培训：“环境相关培训”“数字化技能”“智能制造培训”“ESG培训”→ 5分
披露转型直接相关技能培训：“绿色技能”“低碳培训”“转型培训”“节能减排培训”→10分</t>
  </si>
  <si>
    <t>适用规则C（鼓励-P25档）</t>
  </si>
  <si>
    <t>就业变化率</t>
  </si>
  <si>
    <t>（一）就业变化率计算
就业变化率 =（当期员工人数 − 上年员工人数）÷ 上年员工人数
单位：%
说明：
就业变化率为正向指标，数值越高表示企业就业规模扩张越快。若就业变化率为负，说明企业员工规模缩减。
（二）环比变化维度（30%）
说明：
该指标的环比变化维度与当期横向位置维度使用相同的就业变化率数据，为避免重复计算，环比变化维度得分的计算逻辑与横向位置维度一致，均基于行业内P10-P90分位归一化。此处不再重复设置独立的环比变化维度，直接取当期横向位置维度得分作为该指标的总得分。
（三）当期横向位置维度
1. 行业分位区间确定
对行业内所有企业的就业变化率进行排序，确定：
P10 就业变化率 = 行业内就业变化率的第 10 分位值
P90 就业变化率 = 行业内就业变化率的第 90 分位值
2. 行业维度归一化赋分（正向）
• 当 企业就业变化率 ≤ P10 就业变化率 时，得分 = 0
• 当 企业就业变化率 ≥ P90 就业变化率 时，得分 = 10
• 当 P10 就业变化率 &lt; 企业就业变化率 &lt; P90 就业变化率 时：
得分 = 10 ×（企业就业变化率 − P10 就业变化率）÷（P90 就业变化率 − P10 就业变化率）</t>
  </si>
  <si>
    <t xml:space="preserve">研发投入占比
</t>
  </si>
  <si>
    <t>（一）研发投入占比计算
研发投入占比 = 研发投入 ÷ 当期营业收入
单位：%
说明：
研发投入占比为正向指标，数值越高表示企业对技术进步和转型的资源投入力度越大。
（二）环比变化维度（30%）
1. 环比变化率计算
环比变化率 =（当期研发投入占比 − 上年研发投入占比）÷ 上年研发投入占比
2. 行业分位区间确定
P10 变化率 = 行业内环比变化率的第 10 分位值
P90 变化率 = 行业内环比变化率的第 90 分位值
3. 归一化赋分
• 企业环比变化率 ≤ P10 变化率，环比得分 = 0
• 企业环比变化率 ≥ P90 变化率，环比得分 = 10
• 中间区间：
环比得分 = 10 ×（企业环比变化率 − P10 变化率）÷（P90 变化率 − P10 变化率）</t>
  </si>
  <si>
    <t>当期横向位置维度（70%）
1. 行业分位区间确定
P10 研发投入占比 = 行业内当期研发投入占比的第 10 分位值
P90 研发投入占比 = 行业内当期研发投入占比的第 90 分位值
2. 行业维度归一化赋分（正向）
• 企业当期占比 ≤ P10，占比得分 = 0
• 企业当期占比 ≥ P90，占比得分 = 10
• 中间区间：
当期得分 = 10 ×（企业当期研发投入占比 − P10）÷（P90 − P10）</t>
  </si>
  <si>
    <t>（一）节能技改投资占比计算
节能技改投资占比 = 节能技改投资 ÷ 当期营业收入
单位：%
说明：
节能技改投资包括但不限于节能设备更新、工艺流程优化、能效提升改造等与降低能耗和碳排放相关的资本性支出。
节能技改投资占比为正向指标，数值越高表示企业对节能降碳改造的投入力度越大。
（二）环比变化维度（30%）
1. 环比变化率计算
环比变化率 =（当期节能技改投资占比 − 上年节能技改投资占比）÷ 上年节能技改投资占比
环比变化率大于 0 表示企业在节能技改方面的投入强度较上年有所提升。
2. 行业分位区间确定
对行业内所有企业的"节能技改投资占比环比变化率"进行排序，确定：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时，环比得分 = 0
• 当 企业环比变化率 ≥ P90 变化率 时，环比得分 = 10
• 当 P10 变化率 &lt; 企业环比变化率 &lt; P90 变化率 时：
环比得分 = 10 ×（企业环比变化率 − P10 变化率）÷（P90 变化率 − P10 变化率）</t>
  </si>
  <si>
    <t>当期横向位置维度（70%）
1. 行业分位区间确定
对行业内所有企业当期节能技改投资占比进行排序，确定：
P10 节能技改投资占比 = 行业内当期节能技改投资占比的第 10 分位值
P90 节能技改投资占比 = 行业内当期节能技改投资占比的第 90 分位值
2. 行业维度归一化赋分（正向）
在区间 [P10 节能技改投资占比，P90 节能技改投资占比] 内进行线性归一映射：
• 当 企业当期节能技改投资占比 ≤ P10 时，当期得分 = 0
• 当 企业当期节能技改投资占比 ≥ P90 时，当期得分 = 10
• 当 P10 &lt; 企业当期节能技改投资占比 &lt; P90 时：
当期得分 = 10 ×（企业当期节能技改投资占比 − P10）÷（P90 − P10）</t>
  </si>
  <si>
    <t>（一）环保投入占比计算
环保投入占比 = 环保投入 ÷ 当期营业收入
单位：%
（二）环比变化维度（30%）
1. 环比变化率计算
环比变化率 =（当期环保投入占比 − 上年环保投入占比）÷ 上年环保投入占比
环比变化率大于 0 表示企业环保投入强度较上年有所提升。
2. 行业分位区间确定
对行业内所有企业的"环保投入占比环比变化率"进行排序，确定：
P10 变化率 = 行业内环比变化率的第 10 分位值
P90 变化率 = 行业内环比变化率的第 90 分位值
3. 归一化赋分
在区间 [P10 变化率，P90 变化率] 内进行线性归一映射：
• 当 企业环比变化率 ≤ P10 变化率 时，环比得分 = 0
• 当 企业环比变化率 ≥ P90 变化率 时，环比得分 = 10
• 当 P10 变化率 &lt; 企业环比变化率 &lt; P90 变化率 时：
环比得分 = 10 ×（企业环比变化率 − P10 变化率）÷（P90 变化率 − P10 变化率）</t>
  </si>
  <si>
    <t>当期横向位置维度（70%）
1. 行业分位区间确定
对行业内所有企业当期环保投入占比进行排序，确定：
P10 环保投入占比 = 行业内当期环保投入占比的第 10 分位值
P90 环保投入占比 = 行业内当期环保投入占比的第 90 分位值
2. 行业维度归一化赋分（正向）
在区间 [P10 环保投入占比，P90 环保投入占比] 内进行线性归一映射：
• 当 企业当期环保投入占比 ≤ P10 时，当期得分 = 0
• 当 企业当期环保投入占比 ≥ P90 时，当期得分 = 10
• 当 P10 &lt; 企业当期环保投入占比 &lt; P90 时：
当期得分 = 10 ×（企业当期环保投入占比 − P10）÷（P90 − P10）
（四）综合得分
综合得分 = 环比得分 × 30% + 当期得分 × 70%</t>
  </si>
  <si>
    <t>企业通过全流程深度优化与多种相关技术手段协同提升能源利用效率，从而降低单位产出能耗和碳排放，最终使能源利用效率达到行业最优甚至接近极限水平</t>
  </si>
  <si>
    <t>是否应用技术列表中相关技术</t>
  </si>
  <si>
    <t>技术列表：上升管余热回收；烧结漏风率综合治理；水封式烧结环冷机；烧结返矿冷压球团矿；球团固固换热显热回收；高炉大比例球团冶炼；高炉炉顶均压煤气回收；转炉一次干法净化回收；转炉中低温余热回收；电炉烟气显热回收；高效煤气发电；低温余热有机工质朗肯循环（ORC）发电；电机、变压器、水泵、风机等公辅设施能效提升、烧结烟气脱硫脱硝等</t>
  </si>
  <si>
    <t>是（无具体项目实践）</t>
  </si>
  <si>
    <t>是（有具体项目实践）</t>
  </si>
  <si>
    <t>极致能效</t>
  </si>
  <si>
    <t>企业获得以下任一称号或等效认定：
中国钢铁工业协会“极致能效工程能效标杆示范企业”
中国钢铁工业协会“双碳最佳实践能效标杆示范厂”</t>
  </si>
  <si>
    <t>企业通过系统性工程改造与全国全过程控制，使污染物排放水平大幅低于常规标准，实现钢铁等高排放行业的深度环境治理与绿色转型</t>
  </si>
  <si>
    <t>企业是否已完成或正在进行超低排放改造</t>
  </si>
  <si>
    <t>完成超低排放改造（含有组织排放、无组织排放、清洁运输共 3 项），在中国钢铁工业协会官方网站进行公示，经省级生态环境部门公告评为钢铁行业环保绩效 A 级企业。</t>
  </si>
  <si>
    <t>企业通过开发和应用前沿性关键低碳冶炼技术，改变传统高碳生产路径</t>
  </si>
  <si>
    <t>企业是否应用技术列表中相关前沿技术</t>
  </si>
  <si>
    <t>技术列表：石灰窑烟气CO2富集提取技术、生物质能烧结技术、微波烧结术、金属化球团焙烧技术、Ferro coke 技术、全氧气基直接还原炼铁、富氢碳还原高炉、基于煤气分离和循环利用的低碳高炉关键技术、电炉短流程炼钢、副产煤气或天然气直接还原炼铁、熔融还原炼铁、氢冶金、二氧化碳捕集利用与封存（CCUS）等</t>
  </si>
  <si>
    <t>企业在智能制造方面的相关表现，包括人工智能应用、数字化工厂、工业互联网、物联网等</t>
  </si>
  <si>
    <t>是否应用相关数字化手段赋能生产制造</t>
  </si>
  <si>
    <t>人工智能+钢铁、高级计划排程技术；加热炉智能燃烧系统；煤气预测与调度优化；高炉数字孪生；操作远程化、无人化、集控化技术；产线智能化改造等</t>
  </si>
  <si>
    <t>企业通过调整产品类型与生产结构，用更高性能、更高附加值、更低碳的产品替代高消耗、低性能、低附加值的传统产品</t>
  </si>
  <si>
    <t>高端产品布局</t>
  </si>
  <si>
    <t>是否明确披露产品应用于以下领域之一或多项（按单项累加）：
• 汽车用钢（含汽车板、超高强钢）
• 能源装备（风电、核电、油气管线钢）
• 船舶及海工装备
• 高端工程机械
• 电工钢、硅钢等功能性材料</t>
  </si>
  <si>
    <t>质量奖</t>
  </si>
  <si>
    <t>获得相应级别的产品质量奖项，如中国质量奖、全国质量奖、省级政府质量奖、冶金特优质量奖等。（自有、母公司或控股的钢铁企业亦可）</t>
  </si>
  <si>
    <t>（一）废钢回收率计算
废钢回收率 = 废钢回收总量 ÷ 粗钢产量   单位：%
（二）环比变化维度（30%）
1. 环比变化率计算
环比变化率 =（当期废钢回收率 − 上年废钢回收率）÷ 上年废钢回收率
2. 行业分位区间确定
对行业内所有企业的"环比变化率"进行排序，确定：
P10 变化率 = 行业内环比变化率的第 10 分位值
P90 变化率 = 行业内环比变化率的第 90 分位值
3. 归一化赋分
当 企业环比变化率 ≤ P10 变化率 时，环比得分 = 0
当 企业环比变化率 ≥ P90 变化率 时，环比得分 = 10
当 P10 变化率 &lt; 企业环比变化率 &lt; P90 变化率 时：
环比得分 = 10 ×（企业环比变化率 − P10 变化率）÷（P90 变化率 − P10 变化率）</t>
  </si>
  <si>
    <t>当期横向位置维度（70%）
1. 行业分位区间确定
对行业内所有企业当期废钢回收率进行排序，确定：
P10 回收率 = 行业内当期废钢回收率的第 10 分位值
P90 回收率 = 行业内当期废钢回收率的第 90 分位值
说明：废钢回收率为正向指标，数值越高表示资源循环利用水平越高。
2. 行业维度归一化赋分
当 企业当期回收率 ≤ P10 回收率 时，当期得分 = 0
当 企业当期回收率 ≥ P90 回收率 时，当期得分 = 10
当 P10 回收率 &lt; 企业当期回收率 &lt; P90 回收率 时：
当期得分 = 10 ×（企业当期回收率 − P10 回收率）÷（P90 回收率 − P10 回收率）</t>
  </si>
  <si>
    <t>数据类型</t>
  </si>
  <si>
    <t>实施举措和保障</t>
  </si>
  <si>
    <t>环境行政处罚</t>
  </si>
  <si>
    <t>分档型</t>
  </si>
  <si>
    <t>处罚类型</t>
  </si>
  <si>
    <t>因子1：近五年发生环境处罚事件的次数，
因子2：近五年发生环境处罚事件的最严重处罚类型，
因子3：近五年发生环境处罚事件的累计被处罚金额/近五年内被处罚次数，
指标得分=次数得分*0.4+类型得分*0.2+强度金额*0.4</t>
  </si>
  <si>
    <t>其他</t>
  </si>
  <si>
    <t>各地生态环境局官网（行政处罚公告栏）</t>
  </si>
  <si>
    <t>警告</t>
  </si>
  <si>
    <t>罚款</t>
  </si>
  <si>
    <t>没收违法</t>
  </si>
  <si>
    <t>停产停业</t>
  </si>
  <si>
    <t>停产整顿</t>
  </si>
  <si>
    <t>暂扣吊销</t>
  </si>
  <si>
    <t>行政拘留</t>
  </si>
  <si>
    <t>连续型</t>
  </si>
  <si>
    <t>处罚强度</t>
  </si>
  <si>
    <t>【0,10000)</t>
  </si>
  <si>
    <t>x/10000*-2</t>
  </si>
  <si>
    <t>【10000,100000)</t>
  </si>
  <si>
    <t>(x-10000)/90000*（-3）-3</t>
  </si>
  <si>
    <t>【100000,300000)</t>
  </si>
  <si>
    <t>(x-100000)/200000*（-3）-7</t>
  </si>
  <si>
    <t>【300000,+)</t>
  </si>
  <si>
    <t>处罚次数</t>
  </si>
  <si>
    <t>【1,5)</t>
  </si>
  <si>
    <t>(x-1)/4*（-3）-3</t>
  </si>
  <si>
    <t>【5,10)</t>
  </si>
  <si>
    <t>(x-6)/4*（3）-7</t>
  </si>
  <si>
    <t>【10,+)</t>
  </si>
  <si>
    <t>安全生产行政处罚</t>
  </si>
  <si>
    <t>因子1：近五年发生安全生产处罚事件的次数，
因子2：近五年发生安全生产处罚事件的最严重处罚类型，
因子3：近五年发生安全生产处罚事件的累计被处罚金额/近五年内被处罚次数，
指标得分=次数得分*0.4+类型得分*0.2+强度金额*0.4</t>
  </si>
  <si>
    <t>各地方应急管理局（厅/局）官网（行政处罚或事故通报栏）</t>
  </si>
  <si>
    <t>没收</t>
  </si>
  <si>
    <t>责令停产</t>
  </si>
  <si>
    <t>关闭</t>
  </si>
  <si>
    <t>拘留</t>
  </si>
  <si>
    <t>x/10000*-3</t>
  </si>
  <si>
    <t>【10000,30000)</t>
  </si>
  <si>
    <t>(x-10000)/20000*（-4）-3</t>
  </si>
  <si>
    <t>【30000,100000)</t>
  </si>
  <si>
    <t>(x-30000)/70000*（-2）-8</t>
  </si>
  <si>
    <t>【100000,+)</t>
  </si>
  <si>
    <t>(3,+)</t>
  </si>
  <si>
    <t>失信事件管理（法律被执行人）</t>
  </si>
  <si>
    <t>执行次数</t>
  </si>
  <si>
    <t>因子1：企业近五年被列为被执行人的次数
因子2：企业未履行部分总额占销售收入的比例（空值填充：未履行部分总额为为空，赋值0，未履行部分总额不为空，赋值-1）
指标得分=0.5*因子1+0.5*因子2</t>
  </si>
  <si>
    <t>【0,10】</t>
  </si>
  <si>
    <t>x/10*-5</t>
  </si>
  <si>
    <t>各地高级人民法院被执行人查询系统</t>
  </si>
  <si>
    <t>(10,20】</t>
  </si>
  <si>
    <t>(1-(20-x)/10)*（-2.5）-5</t>
  </si>
  <si>
    <t>(20,30】</t>
  </si>
  <si>
    <t>(1-(30-x)/20)*（-2.5）-7.5</t>
  </si>
  <si>
    <t>(30,+)</t>
  </si>
  <si>
    <t>未履行部分</t>
  </si>
  <si>
    <t>【0,0.1】</t>
  </si>
  <si>
    <t>x/0.1*-5</t>
  </si>
  <si>
    <t>(0.1,0.2】</t>
  </si>
  <si>
    <t>(1-(0.2-x)/0.1)*（-1）-5</t>
  </si>
  <si>
    <t>(0.2,0.3】</t>
  </si>
  <si>
    <t>(1-(0.3-x)/0.1)*（-2）-6</t>
  </si>
  <si>
    <t>(0.3,0.5】</t>
  </si>
  <si>
    <t>(1-(0.5-x)/0.2)*（-2）-8</t>
  </si>
  <si>
    <t>(0.5,+)</t>
  </si>
  <si>
    <t>劳动纠纷</t>
  </si>
  <si>
    <t>企业近三年劳动纠纷发生次数</t>
  </si>
  <si>
    <t>【0,5）</t>
  </si>
  <si>
    <t>(x/5)*-2.5</t>
  </si>
  <si>
    <t>中国裁判文书网、地方人社局公布的年度劳动争议典型案例/分析报告</t>
  </si>
  <si>
    <t>【5,10）</t>
  </si>
  <si>
    <t>((x-5)/5)*（-2.5）-2.5</t>
  </si>
  <si>
    <t>【10,15）</t>
  </si>
  <si>
    <t>((x-10)/5)*（-2.5）-5</t>
  </si>
  <si>
    <t>【15,20）</t>
  </si>
  <si>
    <t>((x-15)/5)*（-2.5）-7.5</t>
  </si>
  <si>
    <t>【20，+）</t>
  </si>
  <si>
    <t>重大负面舆情</t>
  </si>
  <si>
    <t>企业近两年所有相关负面报道，按其发布媒体的权威性和影响力 进行分级赋值后，所得累计总分值。</t>
  </si>
  <si>
    <t>企业近两年所有相关负面报道，按其发布媒体的权威性和影响力 进行分级赋值后，所得累计总分值。
单次事件赋分（Ei）：
地方/行业媒体：0.5
省级/全国网络媒体：1
中央级主流媒体：1.5
释：针对同一新闻事件的多次报道，只计算其中Ei最高的一次，避免重复加权。</t>
  </si>
  <si>
    <t>【0,2）</t>
  </si>
  <si>
    <t>(x/2)*-3</t>
  </si>
  <si>
    <t>公开网络</t>
  </si>
  <si>
    <t>【2,4）</t>
  </si>
  <si>
    <t>((x-2)/2)*(-3)-3</t>
  </si>
  <si>
    <t>【4,6）</t>
  </si>
  <si>
    <t>((x-4)/2)*(-4)-6</t>
  </si>
  <si>
    <t>【6,+）</t>
  </si>
  <si>
    <t>指标</t>
  </si>
  <si>
    <t>宝钢股份（宝山钢铁）</t>
  </si>
  <si>
    <t>宝武钢铁</t>
  </si>
  <si>
    <t>河钢股份</t>
  </si>
  <si>
    <t>华菱钢铁</t>
  </si>
  <si>
    <t>中信特钢</t>
  </si>
  <si>
    <t>鞍钢股份</t>
  </si>
  <si>
    <t>太钢不锈</t>
  </si>
  <si>
    <t>马钢股份</t>
  </si>
  <si>
    <t>山东钢铁</t>
  </si>
  <si>
    <t>柳钢股份</t>
  </si>
  <si>
    <t>包钢股份</t>
  </si>
  <si>
    <t>重庆钢铁</t>
  </si>
  <si>
    <t>南钢股份</t>
  </si>
  <si>
    <t>首钢股份</t>
  </si>
  <si>
    <t>中南股份</t>
  </si>
  <si>
    <t>本钢板材</t>
  </si>
  <si>
    <t>杭州钢铁</t>
  </si>
  <si>
    <t>凌钢股份</t>
  </si>
  <si>
    <t>新钢股份</t>
  </si>
  <si>
    <t>八一钢铁</t>
  </si>
  <si>
    <t>信息</t>
  </si>
  <si>
    <t>分数（原始得分+对应分数）</t>
  </si>
  <si>
    <t>单项得分（初始权重）</t>
  </si>
  <si>
    <t>单项得分（调整后权重）</t>
  </si>
  <si>
    <t>基础分来源：24年可持续发展报告 p49
“以2020年为基准年，2025年减碳8%，2035年力争减碳30%，2050年力争实现碳中和。”
范围系数来源：24年可持续发展报告 p49 p78 p77
“以公司运营范围为边界，包括范围一和范围二”“宝钢股份对自身直接、间接温室气体排放量及排放强度进行严格的常态化追踪监控。同时聘请第三方专业机构对公司运营控制范围内的直接和间接温室气体排放进行年度核查。”“提供供应链碳排放信息管理服务”“营销部门负责收集客户对供应链减碳的具体指标”</t>
  </si>
  <si>
    <t>来源：24年可持续发展报告 p18
“力争2050年实现碳中和”</t>
  </si>
  <si>
    <t>来源：24年ESG报告 p39
”2030年较碳排放峰值降低30%，并力争在2050年实现碳中和的发展目标”</t>
  </si>
  <si>
    <t>来源：24年可持续发展报告 p103
“2030年前碳达峰，力争2060年前实现碳中和”</t>
  </si>
  <si>
    <t>来源：24年可持续发展报告 p72
“2030年前实现碳达峰，2060年前实现碳中和”</t>
  </si>
  <si>
    <t>来源：24年社会责任报告 p33
碳排放总量预计在2025年达峰
2051-2060为中和期</t>
  </si>
  <si>
    <t>来源：24年可持续发展报告 p54
“2023年实现碳达峰，2050年力争实现碳中和”</t>
  </si>
  <si>
    <t>来源：23年ESG报告 p55
（但24年可持续报告未披露）
“力争2023年实现碳达峰，2050年力争实现碳中和”</t>
  </si>
  <si>
    <t>来源：24年可持续发展报告 p42
“确保2030年前实现碳达峰”“2050年力争实现碳中和”</t>
  </si>
  <si>
    <t>来源：24年ESG报告 p48
“明确2030年前实现碳达峰、2050年实现碳中和的总体目标”</t>
  </si>
  <si>
    <t>24年可持续发展报告未明确表述</t>
  </si>
  <si>
    <t>来源：24年ESG报告 p52
2025年具备减碳30%工艺技术能力、2050年力争实现碳中和“</t>
  </si>
  <si>
    <t>来源：24年可持续发展报告 p49
2050年实现“碳中和“的目标</t>
  </si>
  <si>
    <t>来源：24年可持续发展报告 p41
首钢股份为达成2025年碳达峰、2050至2060年实现碳中和的目标，制定了分阶段的详细规划</t>
  </si>
  <si>
    <t>来源：24年可持续发展报告 p52
2023年实现碳达峰，2050年力争实现碳中和</t>
  </si>
  <si>
    <t>未披露具体目标年份</t>
  </si>
  <si>
    <t>24年可持续发展报告 p51 仅表述了“遵循国家及省级层面的碳达峰碳中和目标，结合公司的实际运营状况和长远发展规划，已制定出相应的目标和行动计划”
未披露具体年份</t>
  </si>
  <si>
    <t>24年可持续报告 P74
 仅表达“凌钢股份积极响应“碳达峰、碳中和”战略目标”</t>
  </si>
  <si>
    <t>来源：24年可持续发展报告 p33
力争2025年实现碳达峰，2050年实现碳中和</t>
  </si>
  <si>
    <t>来源：24年可持续发展报告 p38
2023年实现碳达峰，2050年实现碳中和</t>
  </si>
  <si>
    <t>基础分来源：24年可持续发展报告 p71
“宝钢股份全面贯彻《2030年前碳达峰行动方案》等一系列政策文件精神。”
范围系数来源：24年可持续发展报告 p49
“以公司运营范围为边界，包括范围一和范围二”</t>
  </si>
  <si>
    <t>来源：24年可持续发展报告 p18
“2035年力争减排30%”
参考宝山钢铁《2030年前碳达峰行动方案》</t>
  </si>
  <si>
    <t>来源：24年ESG报告 p51
“公司在2023年实现碳达峰的基础上”</t>
  </si>
  <si>
    <t>来源：24年可持续发展报告 p49
公司确立了2030年前实现“碳达峰”</t>
  </si>
  <si>
    <t>来源：24年可持续发展报告 p33
双碳目标：“十四五”时期，公司以“格局流程再造为主，实现碳达峰</t>
  </si>
  <si>
    <t>24年可持续发展报告中未披露具体碳达峰时间，但25年可持续发展报告中对此进行了披露：25年可持续发展报告 p39
“力争2030年前实现碳达峰”</t>
  </si>
  <si>
    <t xml:space="preserve">来源：24年可持续发展报告 p78 p68 p84 p94
吨钢二氧化碳排放量2025年目标（完整量化 -2）
清洁电力采购（完整量化 -2）、
包钢股份已下达了各单位废水污染物总量约束性目标和废水治理重点任务（定性表述 -0.5）
宝钢股份始终秉持着“一水多用、分级利用、串级使用”原则，并基于2023-2030年水资源管理策略，全面探索节水项目的可行性（部分量化 -1）
</t>
  </si>
  <si>
    <t>来源：24年可持续发展报告 p18
2035年力争减碳30% （完整量化 -2）
2025年具备减碳30%工艺技术能力（完整量化 -2）</t>
  </si>
  <si>
    <t xml:space="preserve">来源：24年ESG报告
 p39 p48 p54 p43
积极支撑河钢集团实现2025年较碳排放峰值降低10%（完整量化 -2）
到2026年，完成全部企业能效标杆示范厂培育，公司分布式可再生发电规模达到250MW以上（完整量化 -2）
2025年，公司将继续保持废气污染物排放达标（定性表述 -0.5）
公司持续加大绿色低碳技术研发和推广力度，促进资源循环利用（定性表述 -0.5）
</t>
  </si>
  <si>
    <t>来源：24年可持续发展报告 p105 p120 p95 p104
产品吨钢排放量-2030年目标（完整量化 -2）
计划到2030年，在VAMA所在工业园区完成100MWp光伏项目的建设（完整量化 -2）
污染物排放全面稳定达标（定性表述 -0.5）
提高废钢比例（定性表述 -0.5）</t>
  </si>
  <si>
    <t>来源：24年可持续发展报告 p73 p74 p91 p72
能源管理目标：“以2021年为基准年，到2025年：吨钢综合能耗较基准年下降5%”（完整量化 -2）
完成余热回收技术迭代更新（定性表述-0.5）
水资源目标：吨钢耗新水量（完整量化 -2）
“回收社会废钢再生占比从2021年的9%提升至20%”（部分量化 -1）
“着力提升绿色生产工艺水平”（定性表述-0.5）</t>
  </si>
  <si>
    <t>来源：24年社会责任报告 p33 p43 p42
2026-2030年进入达峰平台期2030年预计碳达峰总量较峰值降低4.5%（完整量化 -2）
推动清洁能源发展（定性表述 -0.5）
节水目标：短期、中期、长期（完整量化 -2）
开展生态办公，针对废水、废气、固体废物等污染物，制定并执行相应的管控规范（定性表述 -0.5）</t>
  </si>
  <si>
    <t>来源：24年可持续发展报告 p54 p48 p56 p18
2025年降低碳排放强度6%，2030年降低碳排放强度16%（完整量化 -2）
坚持“引好水、少用水、零排放”理念（定性表述 -0.5）
调整生产结构，增加废钢利用比例（定性表述 -0.5）
革新技术工艺（定性表述 -0.5）</t>
  </si>
  <si>
    <t xml:space="preserve">来源：24年ESG报告
p45 p54
策略-极致能效（定性表述 -0.5）
加强能源管理和水资源管控（定性表述 -0.5）
马钢股份大力发展循环经济，重视资源管理与循环利用（定性表述 -0.5）
流程降碳-工艺流程优化 </t>
  </si>
  <si>
    <t>来源：24年可持续发展报告 p42 p51 p43 p55
到2030年，具备较2020年CO2排放强度降低30%的资源条件和技术能力，碳排放强度较2020年降低20%（完整量化 -2）
采用清洁能源替代传统高碳能源（定性表述 -0.5）
大气污染治理-制定环境绩效保A三年行动方案（2024-2026）》等文件（部分量化 -1） 
提高废钢比（定性表述 -0.5）
结合实际，制定了2023-2025年能效提升实施方案，从管理节能、技术节能、工艺节能三个维度，…年节能量为14.4万吨标准煤（完整量化 -2）</t>
  </si>
  <si>
    <t>来源：24年ESG报告 p23 p56 p49
全面推进清洁生产，大力推进极致能效工程，有序推进“双碳”规划落实。2025年底前，完成超低排放改造（部分量化 -1）
提升废钢掺入比例（定性表述 -0.5）
优化用能结构（定性表述 -0.5）
全面推动能源结构优化、工艺低碳化和绿色产品体系建设（定性表述 -0.5）</t>
  </si>
  <si>
    <t xml:space="preserve">来源：24年可持续发展报告 p26 p30 p35
包钢“双碳”技术路径图：极致能效减碳3%-5%、极致能效减碳30%-50%
到2025年吨钢综合能耗降幅5%（完整量化 -2）
冶金资源循环减碳10%-20%（完整量化 -2）
到2025年，公司大宗固废综合利用率达到97%（完整量化 -2）
</t>
  </si>
  <si>
    <t xml:space="preserve">来源：24年ESG报告 p52
推广清洁能源使用（定性表述 -0.5）
2025年具备减碳30%工艺技术能力（完整量化 -2）
持续推动能源结构优化（定性表述 -0.5）
</t>
  </si>
  <si>
    <t xml:space="preserve">来源：24年可持续发展报告 p40 p39 p55 p61 p65
目标为在系统规划措施落地后，吨钢综合能耗较“十四五”再降低10千克标准煤（完整量化 -2）
公司积极推进清洁能源使用（定性表述 -0.5）
公司持续完善污染物排放治理机制（定性表述 -0.5）
公司高度重视水资源的可持续利用和管理，坚持合法合规取水，最大限度降低取水活动对生态环境的影响（定性表述 -0.5）
公司积极践行循环经济理念，合理利用肥料和副产品...减少对环境的影响（定性表述- 0.5）
</t>
  </si>
  <si>
    <t>来源：24年可持续发展报告 p58 p60
短期目标：公司2021年制定了到2025年吨钢综合能耗较2020年降低2%（完整量化 -2）
吨钢耗新水较2020年降低1%（完整量化 -2）
绿电占比达到总用电量的5%以上的目标（完整量化 -2）
公司围绕“消纳、增值、引领”管理理念，在减量化、资源化的同时，利用先进技术，加快固体废弃物回收利用（定性表述 -0.5）</t>
  </si>
  <si>
    <t>来源：24年可持续发展报告 p52 p55 p57 p54 p56 p50
2021-2025年公司碳排放强度变化趋势图中2025年数值为1.750（完整量化 -2）
加快光伏发电及氢能等清洁能源发展，提高清洁能源使用率，推进能源结构绿色低碳转型，构建清洁高效能源体系（定性表述 -0.5）
公司认真贯彻落实集团“废气超低排、废水零排放、固废不出厂”行动方案要求，坚持精准治污、科学治污、依法治污（定性表述 -0.5）
加强水资源里（定性表述 -0.5）
积极响应国家《“十四五”循环经济发展规划》号召，将资源再生与经济循环深度融入企业发展战略之中（定性表述 -0.5）
工艺降碳（定性表述 -0.5）</t>
  </si>
  <si>
    <t>来源：24年可持续发展报告 p33 p36
到2035年吨钢碳排放强度降低30%以上（完整量化 -2）
大力推进能源结构优化（定性表述 -0.5）
污水治理（定性表述 -0.5）
固废治理（定性表述 -0.5）
2035年之后，在前期技术研发、试验成功的基础上，规模化应用低碳工艺技术，深度降碳，最终实现碳中和（部分量化 -1）</t>
  </si>
  <si>
    <t>来源：24年可持续发展报告 p51-53 p71 p63 p60
气候行动-降碳计划：提高公司钢厂能效水平+完成时间（部分量化 -1）
推进能源消费结构低碳转型+完成时间（部分量化 -1）
废弃物管理：公司建立了完善的专门管理体系...最大限度降低固废的产生（定性表述 -0.5）
废气管理:为有效减少废弃排放并预防超标排放风险...确保环保目标的实现（定性表述 -0.5）</t>
  </si>
  <si>
    <t>来源：24年可持续报告P81-91 “三废治理”（完整量化-2）
P84 能源管理（完整量化-2）
P85水资源管理（完整量化-2）
P86 循环经济 “报告期内，烧结、球团、高炉、转炉等工序产生的除尘灰全部自身利用或回原料系
统混合后回用。煤气布袋灰、水渣等全部委托有资质单位利用” （定性 -0.5）</t>
  </si>
  <si>
    <t>来源：24年可持续发展报告 p33 p29 p28
到2030年，吨钢CO2排放强度较2020年降低20%左右（完整量化 -2）
绿色低碳技术实现普遍应用，非化石能源消费量比重提高（定性表述 -0.5）
以“实现水效标杆、创建节水型企业”为最终目标（定性表述 -0.5）
推进节能技改（定性表述 -0.5）</t>
  </si>
  <si>
    <t>来源：24年可持续发展报告 p38 p37 p39
2025年具备降碳30%工艺技术能力（完整量化 -2）
推行清洁能源替代，如太阳能、风能和水能等，减少化石燃料的使用（定性表述 -0.5）
开展水资源管理工作，通过多元取水、工艺创新、废水再生等方式降低水资源消耗（定性表述 -0.5）
降低污染排放（定性表述 -0.5）</t>
  </si>
  <si>
    <t>以下原始得分按单项累加赋分（一项2分）:
1、企业编制并披露正式的转型规划、转型战略或减排路径图
2、明确路径：披露覆盖短中长期的关键里程碑和实施路线图。
3、定量测算：对主要转型措施的预期减排量或减排贡献进行量化测算（tCO₂e、强度变化等）。
4、温控对标：明确说明转型路径与全球 2°C 目标或更先进的温控目标保持一致。
5、国家对标：转型目标或阶段性指标达到或优于国家相关部门发布的能效、排放或技术基准（如能效标杆、行业规范条件）。
6、国际先进性：说明所采用的方法或情景（如 IEA NZE、SBTi）。
7、自身减排措施：是否披露为实现低碳转型，当前已实施或计划实施的关键减排与转型措施（能源替代、循环经济、低碳工艺、低碳资本支出、碳管理与碳交易、绿色供应链等）</t>
  </si>
  <si>
    <t>来源：24年可持续发展报告 p49 p52 p58 p66 p69 p64 p156 p61 p118 p53 p77
中国宝武和宝钢股份碳中和技术路线图；-2
“制定了中长期减碳目标，以2020年为基准年，2025年减碳8%，2035年力争减碳30%，2050年力争实现碳中和”-2
“中国钢铁协会2024年度极致能效工程能效标杆示范企业”-2
“我们评估并列举了2050年零碳排放情景（NZE）”-2
“基于零碳能源替代的加热技术研究和系统开发”、“废钢回收量”、“作为国内首家布局氢还原-电熔炼工艺（HyRESP）的核心装备”、环保资本化投入、“搭建了数字化碳管理平台”、“与用户携手推进整体供应链的减碳设计工作”-2</t>
  </si>
  <si>
    <t xml:space="preserve">来源：24年可持续发展报告 p17 p8 p38 p16 p8 p61 p71 p88
中国宝武碳中和冶金技术路线图 -2
“双碳最佳实践标杆示范”-2
“2024年直接回收用户废钢60万吨”、“加强低碳工艺技术研发”、“7家公司完成中国钢铁工业协会双碳最佳实践能效标杆示范公示或现场验收”、“以碳核算助推供应链低碳发展的一系列低碳管理模式…四项荣誉”、“环保投入”-2
</t>
  </si>
  <si>
    <t xml:space="preserve">来源：24年ESG报告 p34 p47 p48 p35 p36 p89 p11
实施“6+2”低碳发展技术路线图 -2
“预计每年将为公司增加4300万度绿电，减少4.41万吨的二氧化碳排放”-2
“到2026年，完成全部企业能效标杆示范厂培育”-2
拓展低碳铁素资源循环利用、“低碳技术变革”、极致能效工程能效标杆 、“推动开发‘CManage碳管理’”、“环保投入”推动开发“CSCM”绿色供应链 -2
</t>
  </si>
  <si>
    <t>来源：24年可持续发展报告p120 p103 p104 p121 p125 p102 p107 p150 p97 
“预计节约外购电约6000万度，助力碳排放强度降低7.2kgCO2/t-s”-2
“双碳最佳实践能效标杆示范厂”-2
降碳路径 -2
应用清洁能源、智慧能源管理、“在公司内部将一切铁资源回收成钢铁生产原料”、“研究跟踪新型低碳冶金技术应用”、“开展碳管理、碳汇”、公司环保投入金额、推进绿色供应链实践：“与供应商共同开展绿色项目光伏建设EPC项目现场施工和落地”-2</t>
  </si>
  <si>
    <t>来源：24年可持续发展报告 p70 p71 p72 p73 p74 p69 p67
中信泰富特钢碳中和路径、绿色低碳三年行动计划（2023-2025） -2
“下降5%”“力争碳排放量较峰值降低80%左右”-2
“双碳最佳实践能效标杆示范厂”-2
“第一阶段为碳达峰阶段”“第二阶段为稳中有降阶段”“第三阶段为碳中和阶段”-2
“应用可再生能源、采购绿电等，提升企业可再生能源比例”、“短期内布局废钢回收产业”、“公司持续推进重点工序、用能设备的绿色低碳工艺与技术改造”、“推进碳管理数字化平台建设”“EATNS碳管理体系认证”、环保项目总投资、节能项目总投资、“绿色供应链建设组”-2</t>
  </si>
  <si>
    <t>来源：24年社会责任报告 p33 p11 p40 p45 p34 p32 p37
短期目标、中期目标、长期目标 -2
2024年度钢铁极致能效工程能效标杆三年行动先进企业 -2
“实现污染物排放强度大幅降低”-2
全球升温2°C情境下 -2
循环经济：废钢回收利用率100%、探索降碳工艺、低碳技术研发、“深入开展极致能效工程，投资1.3亿元”、“完成碳交易”、年度投入环境保护的资金总额 -2</t>
  </si>
  <si>
    <t xml:space="preserve">来源：24年可持续发展报告 p54 p17 p56 p50 p51 p49 p43 p8
公司“13473”绿色低碳发展模式 -2
能效标杆 -2
三个阶段：笃行五年、展望十年、畅想十五年 -2
“按照引进和自主开发绿色能源替代高排放能源两条路径实施，推动多能互补”、废钢回收再利用量、推进全废钢电弧炉流程极致低碳工艺开发100%、“公司建设全流程在线碳管理平台”、环保项目投入 -2
</t>
  </si>
  <si>
    <t>来源：24年ESG报告 p45 p55 p54 p52 p46 p84
节能减碳行动路径 -2
“双碳最佳实践能效标杆示范企业”-2
可再生能源电量较上年增加、固废综合利用率99.99%、“研发低碳技术”、“提升碳管理体系能力”、环保总投入 -2</t>
  </si>
  <si>
    <t>来源：24年可持续发展报告 p42 p43 p17 p45 p60 p55 p88 p46
短期目标、中期目标、长期目标 -2
“日照基地2025年预计节约4.6万吨标煤”“钢城基地2025年预计节约5.1万吨标煤”-2
双碳最佳实践能效标杆示范企业 -2
采用清洁能源替代传统高碳能源、回收利用占比达到95.27%、“绿色低碳技术研发与应用”、“制定碳管理相关制度”、环保投入 -2</t>
  </si>
  <si>
    <t xml:space="preserve">来源：24年ESG报告 p48 p11 p37 p50 p46 p43 p65
柳钢碳达峰碳中和规划：碳达峰阶段、稳步降碳阶段、深度脱碳阶段、碳中和 -2
《钢铁行业规范条件》-2
环保投入金额、推动可再生能源替代传统能源、资源回收与循环经济 -2
</t>
  </si>
  <si>
    <t>来源：24年可持续发展报告 p22 p26 p29 p35 p25 p56
战略：短期-中期-长期 -2
双碳最佳实践能效标杆示范厂培育突出进步企业
能效标杆三年行动 -2
包钢“双碳”技术路径图 -2
使用清洁能源、回收再利用的废弃物占比 、低碳技术开发:“实现降碳量40%”、环保投入、《包钢股份碳管理办法》、推行绿色供应链管理</t>
  </si>
  <si>
    <t>来源：24年ESGb报告 p53 p4 p60 p50
6C降碳 -2
能效标杆 -2
“替代固体燃料消耗”、使用清洁能源、“固体废弃物511.25万吨，回收利用率100%”、“跟进前沿绿色低碳技术研发和应用”、环保投入 -2</t>
  </si>
  <si>
    <t>来源：24年可持续发展报告 p43 p49 p38 p134
南钢股份碳中和技术路线图 -2
“双碳”三步走战略：2021-2030；2031-2035；2036-2050 -2
全面推广节能新技术：系列减排技术与预计贡献值 -2
环保总投入 -2</t>
  </si>
  <si>
    <t>来源：24年可持续发展报告 p36 p41 p52 p108
降碳技术路线 -2
短期目标：到2030年，低碳产品专线具备吨钢二氧化碳排放强度比2020年降低30%的能力、中期目标：到2035年，公司二氧化碳排放总量较峰值降低30% -2
迁钢公司和京唐公司均被评为“2024年度钢铁极致能效工程能效标杆三年行动先进企业”-2
环保总投入 -2</t>
  </si>
  <si>
    <t>来源：24年可持续发展报告 p49
公司“6C”降碳路径 -2
环保投入费用 -2</t>
  </si>
  <si>
    <t>来源：24年可持续发展报告 p34 p33
关键绩效2024:开工建设2*135MW余气...年降碳量19.53万吨 -2
在厂区内建设分布式光伏发电设施...减少对传统化石能源的以来 -2</t>
  </si>
  <si>
    <t>来源：24年可持续发展报告 p51 p75 p56
气候行动-降碳计划：包括重点工作、工作任务、实施举措、完成时间 -2
智慧能源系统：项目实施后年节约能源6000吨标煤，减少CO2排放约1.8万吨 -2
2024年，公司钢厂顺利通过双碳最佳实践能效标杆示范企业验收公示 -2
公司环保投入总金额145570.7万元 -2</t>
  </si>
  <si>
    <t>来源： 24年可持续报告P21 
“凌钢股份以市场化改革为主线，制定《新凌钢中长期可持续高质量发展规划构想》和《凌钢规划调整实施方案（2024-2025）》" -2;
P74凌钢降碳发展战略 -2; 
P75"预计投产后，25年运行期内平均每年可提供515.7万千瓦时绿色能源，相当于每年节约标准煤633.8吨，减少二氧化碳排放约2,871吨" -2</t>
  </si>
  <si>
    <t>来源：24年可持续发展报告 p33 p28 p84
公司成立碳达峰碳中和办公室，编制《碳达峰碳中和行动方案》《低碳钢工作方案》，明确碳达峰碳中和战略目标和行动路径 -2
企业分别设定了到2025年、2030年、2035年和2050年完成的公司碳达峰碳中和目标 -2
到2030年和2035年，吨钢CO2排放强度较2020年分别降低20%左右和25% -2
荣获中国钢铁工业协会“2024年度钢铁极致能效工程能效标杆三年行动先进企业”称号 -2
环保投入费用 -2</t>
  </si>
  <si>
    <t>来源：24年可持续发展报告 p36 p74
公司应对气候变化商业模式-短期、中期、长期 -2
结合中国宝武碳中和冶金路线图 -2
环保总投入 -2</t>
  </si>
  <si>
    <t>来源：24年社会责任报告 p42
低碳生产：明确吨钢综合能耗指标小于等于588千克标准煤/吨的目标</t>
  </si>
  <si>
    <t>来源：24年可持续发展报告 p50
低碳技术：超临界二氧化碳输送管是基于CCUS技术，用于特殊二氧化碳的封存和驱油的产品</t>
  </si>
  <si>
    <t>来源：24年可持续发展报告 p25
低碳技术研发：打造CCUS全产业链示范工程</t>
  </si>
  <si>
    <t>来源：24年可持续发展报告 p49
根据中国宝武、中南钢铁“双碳”行动方案，结合自身实际，每年形成“双碳”任务清单并推进项目落地</t>
  </si>
  <si>
    <t>来源：24年可持续发展报告 p31
持续完善制度建设：《环境保护工作责任规定》《环保责任事故问责追责管理办法》...等20想环保制度及应急预案文件</t>
  </si>
  <si>
    <t>来源：24年可持续发展报告 p47 p17
“我们设立战略、风险及ESG委员会，碳中和推进委员会和碳中和办公室”-2 -2
“碳中和办公室：由规划与科技部部长任主任，协同相关部门落实工作”-2
“战略、风险及ESG委员会：由董事长领导”“碳中和推进委员会：由董事长任主任”-2</t>
  </si>
  <si>
    <t>来源：24年可持续发展报告 p13-14
治理架构 -2
管理层、负责机构、碳中和推进委员会、碳中和办公室 -2 -2
“将绿色低碳相关议题纳入董事会的工作范围中”-2
董事会-工作职责-“负责检查指导全面风险管理体系的有效运行”-2</t>
  </si>
  <si>
    <t>来源：24年ESG报告 p31 p100
公司战略与ESG委员会 -2 -2
绿色低碳技术工作组、ESG体系管理工作组 -2
公司董事会下设战略与ESG委员会，负责制定和实施公司低碳战略 -2</t>
  </si>
  <si>
    <t>来源：24年可持续发展报告 p3 p27 p96
战略与ESG委员会 -2 -2
“将认为可行的可持续发展或ESG相关提案提交、汇报给董事会进行审议和决策”-2</t>
  </si>
  <si>
    <t>来源：24年可持续发展报告 p11-12
战略、风险及ESG委员会 -2 -2
“审议、批准公司ESG公开信息、ESG相关风险情况及其他重要性事项”-2
明晰各单位工作职责，搭建长效ESG工作机制 -2
ESG协同管理工作组、ESG推进工作组 -2</t>
  </si>
  <si>
    <t>来源：24年社会责任报告 p18
公司战略委员会负责推动、执行董事会制定的ESG战略 -2 -2
ESG工作领导小组-2</t>
  </si>
  <si>
    <t xml:space="preserve">来源：24年可持续发展报告 p9 p11 p25
战略、ESG与科技创新委员会 -2 -2
“由董事会审核与公司规划的一致性，对ESG重要性议题做出最终审批”-2
工作推进小组 -2
</t>
  </si>
  <si>
    <t>来源：24年ESG报告 p17-18
董事会-战略与可持续发展委员会 -2 -2
“公司将ESG纳入决策范畴”-2
ESG工作组 -2
决策层：对公司ESG管理愿景、目标及策略的制定进行指导 -2</t>
  </si>
  <si>
    <t xml:space="preserve">来源：24年可持续发展报告 p27 p28
战略规划与ESG委员会 -2 -2
“充分纳入公司战略规划及各项重大决策”-2
ESG推进工作领导工作小组 -2
</t>
  </si>
  <si>
    <t xml:space="preserve">来源：24年ESG报告 p36
董事长：全面领导公司环境保护管理工作-2
主管环保副总经理：领导环境保护管理部门，对重大环保问题进行管理和决策 -2
安全环保部：专职负责环境保护管理工作事宜 -2
</t>
  </si>
  <si>
    <t>来源：24年可持续发展报告 p80
“包钢股份研究搭建由董事会、董事会战略及ESG委员会、ESG工作小组机构三个层级构成的ESG治理架构”-2 -2 -2
“最高责任机构”、“负责制定ESG目标以及相关制度”“主要协调和执行机构，协调推进ESG相关事宜落地执行”-2
董事会职责：“审议”“批准”-2</t>
  </si>
  <si>
    <t>来源：24年ESG报告 p11-13
董事会是公司ESG工作的最高领导机构，董事会战略与风险委员会负责公司ESG工作 -2 -2 -2
管理层按照分工负责分管领域内ESG管理实务 -2</t>
  </si>
  <si>
    <t>来源：24年可持续发展报告 p22-23 p41
南钢股份治理架构：战略与ESG委员会 -2 -2
董事长担任战略与ESG委员会主任 -2
成立由高级管理层、相关部门负责人和外部专家为主要成员的低碳及能源战略委员会，负责制定和实施公司低碳及能源战略，统筹相关工作推进 -2</t>
  </si>
  <si>
    <t>来源：24年可持续发展报告 p12
ESG治理架构 -2
ESG与合规管理委员会 -2 -2
ESG工作小组 -2
董事会为ESG管理工作的最高决策机构，负责审议批准公司ESG目标和规划、ESG报告发布等事项，并对ESG工作进行全面监督 -2</t>
  </si>
  <si>
    <t>来源：24年可持续发展报告 p12-13
中南股份全面推进ESG理念与企业发展战略深度融合，将ESG管理融入企业经营战略 -2
董事会是公司ESG工作的最高领导机构，对公司ESG战略、管理、绩效和汇报事宜承担全部责任 -2
不断升级和完善跨部门联动的ESG报告编制工作机制 -2
公司董事会秘书具体统筹工作，董事长负责最终决策...负责收集ESG报告写作素材并协助报告编制 -2</t>
  </si>
  <si>
    <t>来源：24年可持续发展报告 p7-8
ESG管理架构与体系 -2
ESG管理委员会作为公司ESG事宜管理及公开披露的决策层；ESG管理工作小组作为公司ESG事宜的组织层 -2 -2 -2
董事会负责审议公司ESG事宜相关风险及重要性等 -2</t>
  </si>
  <si>
    <t>来源：24年可持续发展报告 p22-23
可持续发展治理架构：董事会作为决策层，负责确定ESG战略与目标，确保与公司长期愿景及股东利益相契合等一系列职责 -2
公司深刻认识到可持续发展理念的重要性，将其融入治理架构；在公司重大决策过程中，我们将全面融入ESG因素 -2
决策层由董事会及战略委员会组成，负责制定ESG重大决策...执行层由公司各部门及子公司组成...各项工作任务。-2 -2</t>
  </si>
  <si>
    <t>来源：24年可持续报告 P21"
董事会下设战略与投资委员会，该委员会下设环境、社会及公司治理（ESG）工作组"-2-2;
"负责研究、分析和评估公司ESG相关事项并提出建议，"-2;</t>
  </si>
  <si>
    <t>来源：24年可持续发展报告 p19
ESG管治架构-新钢股份董事会战略委员会构建形成包括董事会、董事会战略委员会以及ESG工作组三个层级的ESG管理组织架构 -2 -2 -2
报告中明确了董事会、董事会战略委员会和ESG工作组分别的指责 -2
董事会负责审议批准公司ESG战略规划和目标，以及ESG治理架构和重要制度 -2</t>
  </si>
  <si>
    <t>来源：24年可持续发展报告 p15 p13
董事会设立战略与投资委员会、审计委员会、提名委员会及薪酬与考核委员会，统筹推进ESG工作有序高效开展。成立ESG工作领导小组，负责公司日常运营中的ESG风险与机遇管理、ESG报告编制等工作 -2 -2 -2
董事会作为公司ESG工作的最高领导机构，对公司ESG战略、管理、绩效和汇报事宜承担全部责任 -2</t>
  </si>
  <si>
    <t>24年可持续发展报告 p76 p48 p56 p55 p56
宝钢股份气候风险管理流程 -2
“并将气候风险管理纳入企业风险管理流程”-2
气候变化风险管治架构及职责 -2
“建立气温实时监控防护机制”-2</t>
  </si>
  <si>
    <t>来源：24年可持续发展报告 p16 p13 p15
“中国宝武深化气候变化相关政策制度建设。制修订《碳达峰碳中和管理办法》《能源环保管理办法》等相关制度”-2</t>
  </si>
  <si>
    <t>来源：24年ESG报告 p31 p32 p49 p18
“识别了与自身运营相关的气候风险与机遇并制定应对措施”-2
“从战略高度加强气候相关风险管理”-2
“积极构建气候变化治理架构”-2
将环保、安全等社会责任及ESG相关工作纳入绩效考核体系 -2</t>
  </si>
  <si>
    <t>来源：24年可持续发展报告 p100-102
应对气候变化
“公司主动识别分析了影响公司气候变化相关的风险与机遇，并制定气候风险管理办法与应对措施”-2</t>
  </si>
  <si>
    <t>来源：24年可持续发展报告 p69
“在此基础上进行了深入的识别与分析，全面评估气候变化相关风险与机遇对公司业务发展的潜在影响，最终依据分析结果制定出针对性应对措施”-2
“将气候变化风险纳入公司整体风险管理框架中”-2</t>
  </si>
  <si>
    <t>来源：24年社会责任报告 p32
“公司将应对气候变化纳入整体发展规划”-2
“完善并下发《双碳工作推进体系》…推动应对气候变化治理更规范、高效”-2</t>
  </si>
  <si>
    <t>来源：24年可持续发展报告 p57 p53
“公司将气候相关影响、风险和机遇纳入公司战略实施”-2
风险管理流程：识别、管理、检测 -2
“建立有《能源环保管理办法》《碳达峰碳中和管理办法》《环保低碳能源综合评价方案》等管理评价考核办法 -2
治理架构 -2</t>
  </si>
  <si>
    <t xml:space="preserve">来源：24年ESG报告 p44 p47
“公司识别多项…并通过有效措施来适应…带来的影响”-2
“‘董事会-碳中和工作领导小组-碳中和办公室’气候变化相关治理架构”-2
“制定《碳达峰碳中和行动方案》”-2
</t>
  </si>
  <si>
    <t>来源：24年ESG报告 p42
“组织对执行层气候治理措施落实的监督和考核”-2
”气候治理决策层”“气候治理管理层”“气候治理执行层”-2
“组织对执行层气候治理措施落实的监督和考核”-2</t>
  </si>
  <si>
    <t xml:space="preserve">来源：24年ESG报告 p47 p49
“积极识别”“制定契合实际的管理策略及措施”-2
“未来公司将推动气候风险管理融入全面风险管理体系”-2
“全面构建规范化管理体系，制定并颁布《碳达峰碳中和推进管理办法》”-2
“通过建立目标分解、过程跟踪、考核评价闭环机制”-2
</t>
  </si>
  <si>
    <t xml:space="preserve">来源：24年可持续发展报告 p22 p19 p24
”对气候相关风险和机遇进行辨识和梳理”-2
将气候治理纳入核心战略 -2
开展数字化碳管理平台 -2
</t>
  </si>
  <si>
    <t>来源：24年ESG报告 p51
治理架构 -2</t>
  </si>
  <si>
    <t>来源：24年可持续发展报告 p41 p47 p48
气候变化治理机制 -2
公司通过开展政策调研、同业对标，并结合专家意见，识别出与自身运营相关的气候变化相关风险与机遇...融入企业ESG整体管理框架及风险管理体系中 -2 -2
上线智慧能源管理系统 -2</t>
  </si>
  <si>
    <t>来源：24年可持续发展报告 p37 p34 p42 p41
公司结合自身业务特点和经营情况，进行系统性分析和评估 -2
治理：绿色制造委员会 -2
公司积极应对气候变化，持续规范气候治理管理体系...紧密结合公司实际情况，制定了《气候治理管理制度》《碳排放报告与核查管理制度》，从制度层面保障气候治理工作的规范开展 -2
组织公司环保管理绩效监督与考核 -2
智慧碳管理平台 -2</t>
  </si>
  <si>
    <t xml:space="preserve">来源：24年可持续发展报告 p49
治理：成立碳中和工作委员会...分层管理架构 -2
健全碳排放预核查机制，成立碳排放核查小组...跟踪年度和月度碳排放量、配额量，控制和减少碳排放-2
</t>
  </si>
  <si>
    <t>来源：24年可持续发展报告 p8
ESG管理工作小组对公司ESG领域包括但不限于应对气候变化...进行制定并提出更新建议 -2</t>
  </si>
  <si>
    <t>来源：24年可持续发展报告 p50 p48
风险识别、风险评估、风险监督、风险管理 -2
保证气候风险管理与公司整体战略协同共进 -2
治理：管理体系-为有序推进国家双碳目标...并加快构建绿色产业价值链，推动企业可持续发展 -2
公司钢厂制定了《宁波钢铁有限公司碳达峰专项行动方案》-2
治理：监督与考核 -2
风险监督：建立风险监测指标体系，对风险进行实时监测 -2</t>
  </si>
  <si>
    <t>来源：24年可持续报告P17
“双重重要性 应对气候变化”-2；P79“环境风险防控：公司建立了环境监测与预警机制”-2</t>
  </si>
  <si>
    <t>24年可持续发展报告中未披露关于气候相关风险信息</t>
  </si>
  <si>
    <t xml:space="preserve">来源：24年可持续发展报告 p37 p36
公司将气候相关风险识别、评估和管理纳入企业整体风险管理流程 -2
完善应对气候变化治理架构，成立以公司领导为主要负责人的碳中和领导小组和碳中和办公室 -2
</t>
  </si>
  <si>
    <t>24年可持续发展报告 p52-p55
转型风险、实体风险 -2
气候变化机遇 -2
机遇类型、对财务的影响 -2
“2024年节能低碳投资18.9亿元，2025年预算34.3亿元”-2
应对举措 -2</t>
  </si>
  <si>
    <t>来源：24年ESG报告 p32-34
转型风险、实体风险 -2
政策、法律、技术、市场 -2
机遇描述 -2
管理及应对策略 -2</t>
  </si>
  <si>
    <t>来源：24年可持续发展报告 p101-102
政策与法律法规、技术风险、市场风险、声誉风险 -2
机遇 -2
潜在财务影响-2
应对措施 -2</t>
  </si>
  <si>
    <t>来源：24年可持续发展报告p69-70
政策、技术、市场、声誉 -2
机遇 -2
潜在财务影响 -2
应对措施 -2</t>
  </si>
  <si>
    <t>来源：24年社会责任报告 p33
转型风险、物理风险 -2
应对举措 -2</t>
  </si>
  <si>
    <t>来源：24年可持续发展报告 p55
物理风险、转型风险 -2
政策、技术、市场 -2
机遇 -2
应对措施 -2</t>
  </si>
  <si>
    <t>来源：24年ESG报告 p47
实体风险、过渡风险 -2
应对措施 -2</t>
  </si>
  <si>
    <t xml:space="preserve">来源：24年可持续报告 p44-45
物理风险、转型风险 -2
政策、技术、市场、声誉 -2
机遇 -2
</t>
  </si>
  <si>
    <t>来源：24年ESG报告
物理风险、转型风险 -2
政策、技术、市场、声誉 -2
机遇 -2
应对措施 -2</t>
  </si>
  <si>
    <t xml:space="preserve">来源：24年可持续发展报告 p22-25
实体风险、转型风险 -2
政策、技术、市场、声誉 -2
机遇 -2
应对措施 -2
</t>
  </si>
  <si>
    <t>来源：24年ESG报告 p52
实体风险、转型风险 -2
机遇 -2
应对举措 -2</t>
  </si>
  <si>
    <t>来源：24年可持续发展报告 p47-48
政策和法律风险、市场风险、技术风险、声誉风险、急性物理风险、慢性物理风险 -2 -2
机遇部分包括：产品与服务、技术投资与开发、资源效率、能源类型 -2
潜在财务风险 -2
应对措施 -2</t>
  </si>
  <si>
    <t>来源：24年可持续发展报告 p37 p38
物理风险、转型风险 -2
政策与法律法规、技术和成本、市场、声誉 -2
机遇：产品服务、能源效率、能源来源、碳管理与交易 -2
潜在影响中有关于对财务影响的相关表述，比如“可能带来实物资产减值或损失”、“运营成本上升”等 -2
风险应对能力提升 -2</t>
  </si>
  <si>
    <t>来源：24年可持续发展报告 p51
物理风险、转型风险 -2
合规风险、技术风险、市场风险、声誉风险 -2
风险描述中有“间接影响营业收入”“增加经营成本”等财务影响表述 -2
应对措施 -2</t>
  </si>
  <si>
    <t>未披露任何气候相关风险、机遇、应对措施</t>
  </si>
  <si>
    <t>来源：24年可持续发展报告 p49 p50
物理风险、转型风险 -2
政策风险、市场风险、声誉风险 -2
机遇类型：资源效率提升机遇、绿色钢铁技术机遇、政策补贴与融资优势 -2
对公司财务的影响 -2
应对措施 -2</t>
  </si>
  <si>
    <t>来源：24年可持续报告 P76 
“影响、风险和机遇管理” 转型风险/实体风险-2；
机遇类型 -2；
风险覆盖类型-2；应对措施-2</t>
  </si>
  <si>
    <t>来源：24年可持续发展报告 p37
转型风险、物理风险 -2
法规风险、技术风险、市场风险、声誉风险 -2
财务或运营影响 -2
应对措施 -2</t>
  </si>
  <si>
    <t>24年可持续发展报告 p51-p54
气候变化情景分析 -2
"IPCC""IEA" -2
"我们评估列举了2050年零碳排放情景（NZE)”-2
“并通过定量分析对比各类风险可能导致的财务金额减损/增加”-2 -1</t>
  </si>
  <si>
    <t>来源：24年社会责任报告 p33
场景分析（全球升温2摄氏度情景下）-2
转型风险、物理风险-2
影响分析-1</t>
  </si>
  <si>
    <t>来源：24年ESG报告 p48
IFRS S2 -2</t>
  </si>
  <si>
    <t>来源：24年可持续发展报告-附录-可持续发展报告
类别一、类别二、类别三</t>
  </si>
  <si>
    <t>来源：24年ESG报告
范围一、范围二</t>
  </si>
  <si>
    <t>来源：24年可持续发展报告
绝对排放量</t>
  </si>
  <si>
    <t>来源：24年可持续发展报告
范围一、范围二</t>
  </si>
  <si>
    <t>24年数据未披露</t>
  </si>
  <si>
    <t>来源：24年社会责任报告 p8
范围一、范围二</t>
  </si>
  <si>
    <t>来源：24年ESG报告 p47
范围一、范围二</t>
  </si>
  <si>
    <t>来源：24年可持续发展报告 p45
范围一、范围二</t>
  </si>
  <si>
    <t>来源：24年ESG报告 p51
范围一、范围二、范围三</t>
  </si>
  <si>
    <t>来源：24年ESG发展报告 p53
范围一、范围二</t>
  </si>
  <si>
    <t>来源：24年可持续发展报告 p49
范围1、范围2、范围3</t>
  </si>
  <si>
    <t>来源：24年可持续发展报告 p41
范围1、范围2</t>
  </si>
  <si>
    <t>来源：24年可持续发展报告 p52
范围一、范围二</t>
  </si>
  <si>
    <t>24年可持续发展报告中未披露24年碳排放，但是2025年可持续发展报告中披露了24年的碳排放
p39
范围一：8516409吨、范围二：191310.61吨</t>
  </si>
  <si>
    <t>24年可持续报告中明确表示未披露当期碳排放数据</t>
  </si>
  <si>
    <t>来源：24年可持续发展报告 p86
范围一、范围二</t>
  </si>
  <si>
    <t>来源：24年可持续发展报告 p74
范围一、范围二</t>
  </si>
  <si>
    <t>来源：24年可持续发展报告 24、23年数据
类别1+类别2+类别3
24、23年报</t>
  </si>
  <si>
    <t>来源：24年可持续发展报告 温室气体排放总量 24、23年数据
24、23年报</t>
  </si>
  <si>
    <t>仅披露了绝对排放量，口径不一致，无法比较</t>
  </si>
  <si>
    <t>来源：24年可持续发展报告 24、23年温室气体排放总量（范围1+范围2）
24、23年报</t>
  </si>
  <si>
    <t>来源：24年可持续发展报告 24、23年范围一+范围二
24、23年报</t>
  </si>
  <si>
    <t>来源：24年可持续发展报告 24、23年温室气体排放总量（范围1和范围2）
24、23年报</t>
  </si>
  <si>
    <t>来源：24年可持续发展报告 24、23年范围一+范围二+范围三
24、23年年报</t>
  </si>
  <si>
    <t>来源：24年可持续发展报告 24、23年范围一+范围二
24、23年年报</t>
  </si>
  <si>
    <t>来源：24年可持续发展报告 24、23年范围1+范围2
24、23年年报</t>
  </si>
  <si>
    <t>来源：24年可持续发展报告 24、23范围1和范围2
24、23年年报</t>
  </si>
  <si>
    <t>来源：24年可持续发展报告 24、23范围一+范围二
24、23年年报</t>
  </si>
  <si>
    <t>24年可持续发展报告中未披露24年碳排放，但是2025年可持续发展报告中披露了24年的碳排放
p39
范围一：8516409吨、范围二：191310.61吨
24年可持续报告23年数据
24、23年报</t>
  </si>
  <si>
    <t>来源：24年可持续发展报告 24年范围一+范围二
但未披露23年碳排放量</t>
  </si>
  <si>
    <t>来源：24年可持续发展报告 24年数据
类别1+类别2+类别3
24年报</t>
  </si>
  <si>
    <t>来源：24年可持续发展报告 24年温室气体排放总量（范围1+范围2）
24年报</t>
  </si>
  <si>
    <t>来源：24年可持续发展报告 24年范围一+范围二
24年报</t>
  </si>
  <si>
    <t>来源：24年可持续发展报告 24年温室气体排放总量（范围1和范围2）
24年报</t>
  </si>
  <si>
    <t>来源：24年可持续发展报告 24年范围一+范围二
24年年报</t>
  </si>
  <si>
    <t>来源：24年可持续发展报告 24年范围1+范围2
24年年报</t>
  </si>
  <si>
    <t>来源：24年可持续发展报告 24范围1和范围2
24年年报</t>
  </si>
  <si>
    <t>来源：24年可持续发展报告 24范围一+范围二
24年年报</t>
  </si>
  <si>
    <t>24年可持续发展报告中未披露24年碳排放，但是2025年可持续发展报告中披露了24年的碳排放
p39
范围一：8516409吨、范围二：191310.61吨
24年报</t>
  </si>
  <si>
    <r>
      <t xml:space="preserve">（一）当期营收碳排放强度计算
当期营收碳排放强度 = 当年碳排放量 ÷ 营业收入
单位：吨二氧化碳 / 万元
（二）环比变化维度（30%）
1. 环比变化率计算
环比变化率 =（上年营收碳排放强度 </t>
    </r>
    <r>
      <rPr>
        <sz val="11"/>
        <color theme="1"/>
        <rFont val="宋体-简"/>
        <charset val="134"/>
      </rPr>
      <t>−</t>
    </r>
    <r>
      <rPr>
        <sz val="11"/>
        <color theme="1"/>
        <rFont val="仿宋_GB2312"/>
        <charset val="134"/>
      </rPr>
      <t xml:space="preserve"> 当期营收碳排放强度）÷ 上年营收碳排放强度
环比变化率大于 0 表示单位营收对应的碳排放水平较上年下降，转型表现为正。
2. 行业分位区间确定
对行业内所有企业的"环比变化率"进行排序，确定以下分位点：
P10 变化率 = 行业内环比变化率的第 10 分位值
P90 变化率 = 行业内环比变化率的第 90 分位值
3. 归一化赋分
在区间 [P10 变化率，P90 变化率] 内进行线性归一映射：
</t>
    </r>
    <r>
      <rPr>
        <sz val="11"/>
        <color theme="1"/>
        <rFont val="Times New Roman"/>
        <charset val="134"/>
      </rPr>
      <t>•</t>
    </r>
    <r>
      <rPr>
        <sz val="11"/>
        <color theme="1"/>
        <rFont val="仿宋_GB2312"/>
        <charset val="134"/>
      </rPr>
      <t xml:space="preserve"> 当 企业环比变化率 ≤ P10 变化率 时，环比得分 = 0
</t>
    </r>
    <r>
      <rPr>
        <sz val="11"/>
        <color theme="1"/>
        <rFont val="Times New Roman"/>
        <charset val="134"/>
      </rPr>
      <t>•</t>
    </r>
    <r>
      <rPr>
        <sz val="11"/>
        <color theme="1"/>
        <rFont val="仿宋_GB2312"/>
        <charset val="134"/>
      </rPr>
      <t xml:space="preserve"> 当 企业环比变化率 ≥ P90 变化率 时，环比得分 = 10
</t>
    </r>
    <r>
      <rPr>
        <sz val="11"/>
        <color theme="1"/>
        <rFont val="Times New Roman"/>
        <charset val="134"/>
      </rPr>
      <t>•</t>
    </r>
    <r>
      <rPr>
        <sz val="11"/>
        <color theme="1"/>
        <rFont val="仿宋_GB2312"/>
        <charset val="134"/>
      </rPr>
      <t xml:space="preserve"> 当 P10 变化率 &lt; 企业环比变化率 &lt; P90 变化率 时：
环比得分 = 10 ×（企业环比变化率 </t>
    </r>
    <r>
      <rPr>
        <sz val="11"/>
        <color theme="1"/>
        <rFont val="宋体-简"/>
        <charset val="134"/>
      </rPr>
      <t>−</t>
    </r>
    <r>
      <rPr>
        <sz val="11"/>
        <color theme="1"/>
        <rFont val="仿宋_GB2312"/>
        <charset val="134"/>
      </rPr>
      <t xml:space="preserve"> P10 变化率）÷（P90 变化率 </t>
    </r>
    <r>
      <rPr>
        <sz val="11"/>
        <color theme="1"/>
        <rFont val="宋体-简"/>
        <charset val="134"/>
      </rPr>
      <t>−</t>
    </r>
    <r>
      <rPr>
        <sz val="11"/>
        <color theme="1"/>
        <rFont val="仿宋_GB2312"/>
        <charset val="134"/>
      </rPr>
      <t xml:space="preserve"> P10 变化率）</t>
    </r>
  </si>
  <si>
    <r>
      <t xml:space="preserve">当期横向位置维度（70%）
1. 行业分位区间确定
对行业内所有企业当期营收碳排放强度进行排序，确定：
P10 营收碳排放强度 = 行业内当期营收碳排放强度的第 10 分位值
P90 营收碳排放强度 = 行业内当期营收碳排放强度的第 90 分位值
说明：营收碳排放强度为反向指标，数值越低表示单位营收对应的碳排放水平越低，表现越好。
2. 行业维度归一化赋分
在区间 [P10 营收碳排放强度，P90 营收碳排放强度] 内进行反向线性归一映射：
当 企业当期营收碳排放强度 ≥ P90 营收碳排放强度 时，当期得分 = 0
当 企业当期营收碳排放强度 ≤ P10 营收碳排放强度 时，当期得分 = 10
当 P10 营收碳排放强度 &lt; 企业当期营收碳排放强度 &lt; P90 营收碳排放强度 时：
当期得分 = 10 ×（P90 营收碳排放强度 </t>
    </r>
    <r>
      <rPr>
        <sz val="11"/>
        <color theme="1"/>
        <rFont val="宋体-简"/>
        <charset val="134"/>
      </rPr>
      <t>−</t>
    </r>
    <r>
      <rPr>
        <sz val="11"/>
        <color theme="1"/>
        <rFont val="仿宋_GB2312"/>
        <charset val="134"/>
      </rPr>
      <t xml:space="preserve"> 企业当期营收碳排放强度）÷（P90 营收碳排放强度 </t>
    </r>
    <r>
      <rPr>
        <sz val="11"/>
        <color theme="1"/>
        <rFont val="宋体-简"/>
        <charset val="134"/>
      </rPr>
      <t>−</t>
    </r>
    <r>
      <rPr>
        <sz val="11"/>
        <color theme="1"/>
        <rFont val="仿宋_GB2312"/>
        <charset val="134"/>
      </rPr>
      <t xml:space="preserve"> P10 营收碳排放强度）
</t>
    </r>
  </si>
  <si>
    <t>来源：24年可持续发展报告；自发可再生能源电量、能源总量
23年可持续发展报告-厂内可再生能源发电量，能源总量</t>
  </si>
  <si>
    <t>24年可持续发展报告中未披露自发可再生能源发电量与能源总量</t>
  </si>
  <si>
    <t>来源：24年可持续报告
能源总消耗量、清洁能源发电项目
23年可持续发展报告 清洁能源使用量、能源消耗总量</t>
  </si>
  <si>
    <t>来源：24年可持续发展报告
24年自发电力
未披露24年能源总量</t>
  </si>
  <si>
    <t>来源：24年可持续发展报告中24、23年数据
自发、能源消耗总量</t>
  </si>
  <si>
    <t>来源：24年可持续发展报告
可再生能源发电量（风能）+可再生能源发电量（光伏）
24年直接及间接能源总耗量
20-23年均未披露自发电力量</t>
  </si>
  <si>
    <t>来源：24年可持续发展报告
光伏发电、能源消费量
23年可持续发展报告：光伏发电量1583.78万千瓦时，能源消耗量</t>
  </si>
  <si>
    <t>来源：24年可持续发展报告-24、23年数据
可再生能源使用量（清洁能源使用量）
综合能耗（标准煤换算）</t>
  </si>
  <si>
    <t>来源：24年可持续发展报告中24、23年数据
自发电、能源消耗总量</t>
  </si>
  <si>
    <t>未披露24年自发可持续能源电量</t>
  </si>
  <si>
    <t>来源：24年可持续发展报告-自由清洁能源年发电量（光伏发电）
能源消耗总量（吨标准煤换算）
23年可持续发展报告-自由清洁能源年发电量（光伏发电）
能源消耗总量（吨标准煤换算）</t>
  </si>
  <si>
    <t>来源：24年可持续发展报告中24、23年数据
可再生能源使用量、综合能耗</t>
  </si>
  <si>
    <t>来源：24可持续发展报告-24、23年可再生能源消耗量-自发绿电数据</t>
  </si>
  <si>
    <t>来源：24年可持续发展报告-用电量24、23年数据
自发电量24、23年数据</t>
  </si>
  <si>
    <t xml:space="preserve">来源：24年可持续发展报告-全年累计光伏发电量达2014.1万kwh
24年能源消耗总量-4440365吨标准煤约等于36149210MWh
23年社会责任报告-一期项目年发电量2217万kwh
23年能源消耗总量-4668853吨标准煤约等于38002231MWh
</t>
  </si>
  <si>
    <t>来源：24年可持续发展报告-23、24年吨钢电耗
结合钢产量推算23、24年总电耗
24年可持续发展报告-建设光伏发电项目年平均发电量1508.1万千瓦时
无基准年自发可再生能源数据</t>
  </si>
  <si>
    <t>来源：24年可持续发展报告-光伏发电、能源消耗总量（标准煤换算为兆瓦时）数据
23年可持续发展报告-清洁能源使用（光伏）、能源消耗总量（标准煤换算）数据</t>
  </si>
  <si>
    <t>未披露24年自发可再生能源发电量</t>
  </si>
  <si>
    <t>来源：24年可持续发展报告-光伏发电量4174兆瓦时，能源消耗量
23年可持续发展报告-光伏发电量249万千瓦时，能源消耗量</t>
  </si>
  <si>
    <t>来源：24年可持续发展报告 24、23年清洁能源使用量数据
全年能源消耗总量</t>
  </si>
  <si>
    <t>当期横向位置维度（70%）
1. 行业分位区间确定
对行业内所有企业当期自发可再生能源电量占比进行排序，确定：
P10 占比 = 行业内当期自发可再生能源电量占比的第 10 分位值
P90 占比 = 行业内当期自发可再生能源电量占比的第 90 分位值
说明：自发可再生能源电量占比为正向指标，数值越高表示表现越好。
2. 行业维度归一化赋分
在区间 [P10 占比，P90 占比] 内进行线性归一映射：
当 企业当期占比 ≤ P10 占比 时，当期得分 = 0
当 企业当期占比 ≥ P90 占比 时，当期得分 = 10
当 P10 占比 &lt; 企业当期占比 &lt; P90 占比 时：
当期得分 = 10 ×（企业当期占比 − P10 占比）÷（P90 占比 − P10 占比）</t>
  </si>
  <si>
    <t>来源：24年可持续发展报告；自发可再生能源电量、能源总量</t>
  </si>
  <si>
    <t>来源：24年可持续报告
24年能源总消耗量、清洁能源发电项目</t>
  </si>
  <si>
    <t>来源：24年可持续发展报告中24年数据
自发、能源消耗总量</t>
  </si>
  <si>
    <t>来源：24年可持续发展报告
可再生能源发电量（风能）+可再生能源发电量（光伏）
24年直接及间接能源总耗量</t>
  </si>
  <si>
    <t>来源：24年可持续发展报告
光伏发电、能源消费量</t>
  </si>
  <si>
    <t>来源：24年可持续发展报告-24年数据
可再生能源使用量（清洁能源使用量）
综合能耗（标准煤换算）</t>
  </si>
  <si>
    <t>来源：24年可持续发展报告中24年数据
自发电、能源消耗总量</t>
  </si>
  <si>
    <t>来源：24年可持续发展报告
-自由清洁能源年发电量（光伏发电）
能源消耗总量（吨标准煤换算）</t>
  </si>
  <si>
    <t>来源：24年可持续发展报告中24年数据
可再生能源使用量、综合能耗</t>
  </si>
  <si>
    <t>来源：24可持续发展报告-24年可再生能源消耗量-自发绿电</t>
  </si>
  <si>
    <t>来源：24年可持续发展报告-用电量24年数据
自发电量24年数据</t>
  </si>
  <si>
    <t>来源：24年可持续发展报告-全年累计光伏发电量达2014.1万kwh
24年能源消耗总量-4440365吨标准煤约等于36149210MWh</t>
  </si>
  <si>
    <t>来源：24年可持续发展报告-24年吨钢电耗
结合钢产量推算24年总电耗
24年可持续发展报告-建设光伏发电项目年平均发电量1508.1万千瓦时</t>
  </si>
  <si>
    <t>来源：24年可持续发展报告-光伏发电、能源消耗总量（标准煤换算为兆瓦时）数据</t>
  </si>
  <si>
    <t>来源：24年可持续发展报告-光伏发电量4174兆瓦时，能源消耗量</t>
  </si>
  <si>
    <t>来源：24年可持续发展报告 24年清洁能源使用量数据
全年能源消耗总量</t>
  </si>
  <si>
    <t>来源：24年可持续发展报告：外购可再生能源电量+外购可再生能源绿证电量、能源总量
23年可持续发展报告外购清洁能源电量，能源总量</t>
  </si>
  <si>
    <t>来源：24年可持续发展报告
绿电交易量
未披露能源总量</t>
  </si>
  <si>
    <t>来源：24年可持续报告
24年外购清洁能源电量、24、22年能源总消耗
23年外购清洁能源电量未披露</t>
  </si>
  <si>
    <t>来源：24年可持续发展报告中24、23年数据
外购、能源消耗总量</t>
  </si>
  <si>
    <t>来源：24年可持续发展报告
外购绿电、直接及间接能源总耗量
23年可持续发展报告 累计交易绿电7.9亿千瓦时，能源总耗量</t>
  </si>
  <si>
    <t>来源：24年可持续发展报告
外购绿电、能源消费量
23年可持续发展报告
采购绿电、能源消耗量</t>
  </si>
  <si>
    <t>来源：24年可持续发展报告
实际购入绿电
综合能耗
23年可持续发展报告
完成绿电交易4.63亿千瓦时，综合能耗</t>
  </si>
  <si>
    <t>来源：24年可持续发展报告
24年外购电量未披露</t>
  </si>
  <si>
    <t>24年可持续发展报告仅披露所属广西钢铁外购绿电，未披露整体范围内</t>
  </si>
  <si>
    <t>来源：24年可持续发展报告
能源消耗总量
未披露24年外购绿电量</t>
  </si>
  <si>
    <t>来源：24年可持续发展报告
综合能耗
未披露24年外购绿电量</t>
  </si>
  <si>
    <t>来源：24可持续发展报告-24、23年可再生能源消耗量-外购绿电数据</t>
  </si>
  <si>
    <t>来源：24年可持续发展报告-用电量24、23年数据
外购绿电24、23年数据</t>
  </si>
  <si>
    <t>24年未披露外购绿电数量</t>
  </si>
  <si>
    <t>来源：24年可持续发展报告-外购电力总量、能源消耗总量（标准煤换算为兆瓦时）数据
23年可持续发展报告-外购电力、能源消耗总量（标准煤换算）数据</t>
  </si>
  <si>
    <t>来源：24年可持续发展报告-外购电力、能源消耗总量（吨标准煤换算）
23年可持续发展报告-外购电力总量、能源消耗总量（吨标准煤换算）</t>
  </si>
  <si>
    <t>来源：24年可持续发展报告-绿电交易电量，能源消耗量
23年可持续发展报告-绿电消费量43万千瓦时，能源消耗量</t>
  </si>
  <si>
    <t>来源：24年可持续发展报告-公司购买新能源电力16.5亿kwh，全年能源消耗总量
23年未披露</t>
  </si>
  <si>
    <t>来源：24年可持续发展报告：外购可再生能源电量+外购可再生能源绿证电量、能源总量</t>
  </si>
  <si>
    <t>来源：24年可持续报告
24年外购清洁能源电量24年能源总消耗</t>
  </si>
  <si>
    <t>来源：24年可持续发展报告中24年数据
外购、能源消耗总量</t>
  </si>
  <si>
    <t>来源：24年可持续发展报告
外购绿电、直接及间接能源总耗量</t>
  </si>
  <si>
    <t>来源：24年可持续发展报告
外购绿电、能源消费量</t>
  </si>
  <si>
    <t>来源：24年可持续发展报告
实际购入绿电
综合能耗</t>
  </si>
  <si>
    <t>来源：24可持续发展报告-24年可再生能源消耗量-外购绿电数据</t>
  </si>
  <si>
    <t>来源：24年可持续发展报告-用电量24年数据
外购绿电24年数据</t>
  </si>
  <si>
    <t>来源：24年可持续发展报告-外购电力总量、能源消耗总量（标准煤换算为兆瓦时）数据</t>
  </si>
  <si>
    <t>来源：24年可持续发展报告-外购电力、能源消耗总量（吨标准煤换算）</t>
  </si>
  <si>
    <t>来源：24年可持续发展报告-绿电交易电量，能源消耗量</t>
  </si>
  <si>
    <t>来源：24年可持续发展报告-公司购买新能源电力16.5亿kwh，全年能源消耗总量</t>
  </si>
  <si>
    <t>来源：直接采用24年可持续发展报告中24、23年吨钢耗新水量</t>
  </si>
  <si>
    <t>来源：直接采用24年可持续发展报告中24、23年数据
吨钢耗新水量</t>
  </si>
  <si>
    <t>来源：24年可持续发展报告、23年可持续发展报告
取新水总量
24、23年年报
生产量</t>
  </si>
  <si>
    <t>来源：24年可持续发展报告-新水量（市政供水总量+其他类型供水量）
23年吨钢耗新水量
24年年报</t>
  </si>
  <si>
    <t>未披露24、23年吨钢耗新水量</t>
  </si>
  <si>
    <t xml:space="preserve">来源：24、23年可持续发展报告
吨钢耗新水量下降22.8%，结合23年可持续发展报告中的23年吨钢新鲜水使用量1.8吨水/吨钢，以计算24年相应数据：计算得出24年吨耗新水量为1.39吨/吨
</t>
  </si>
  <si>
    <t>来源：24年可持续发展报告
24、23吨钢新水消耗量</t>
  </si>
  <si>
    <t>来源：24年可持续发展报告
24、23耗新水强度</t>
  </si>
  <si>
    <t xml:space="preserve">来源：24年可持续发展报告
2024年柳钢股份单位产品用水量-吨钢新水耗
23年未披露吨钢新水数据
</t>
  </si>
  <si>
    <t>来源：24年可持续发展报告中24、23年的数据
吨钢耗新水量</t>
  </si>
  <si>
    <t>来源：24年可持续发展报告
24、23年吨钢新水消耗量</t>
  </si>
  <si>
    <t>来源：24年可持续发展报告
24、23年吨钢耗新水量</t>
  </si>
  <si>
    <t>来源：24年可持续发展报告-24、23年年度新鲜水用水量
24、23年年报</t>
  </si>
  <si>
    <t>来源：24年可持续发展报告-24、23年吨钢耗新水量</t>
  </si>
  <si>
    <t>来源：24年可持续发展报告-24、23年吨钢耗新水</t>
  </si>
  <si>
    <t xml:space="preserve">来源：24年可持续发展报告 新鲜水用量
23年新水量未披露
24年年报
</t>
  </si>
  <si>
    <t>来源：24年可持续发展报告-吨钢耗新水
23年可持续发展报告-实现吨钢耗新水0.5t</t>
  </si>
  <si>
    <t>来源：24年可持续发展报告-24、23年吨钢新水量</t>
  </si>
  <si>
    <t>来源：直接采用24年可持续发展报告
吨钢耗新水量；</t>
  </si>
  <si>
    <t>来源：直接采用24年可持续发展报告中24年数据
吨钢耗新水量</t>
  </si>
  <si>
    <t>来源：24年可持续发展报告
取新水总量
24年年报
生产量</t>
  </si>
  <si>
    <t>来源：24年可持续发展报告-新水量（市政供水总量+其他类型供水量）
24年年报</t>
  </si>
  <si>
    <t>未披露24年吨钢耗新水量</t>
  </si>
  <si>
    <t>来源：24年可持续发展报告
吨钢新水消耗量</t>
  </si>
  <si>
    <t>来源：24年可持续发展报告
耗新水强度</t>
  </si>
  <si>
    <t xml:space="preserve">来源：24年可持续发展报告
2024年柳钢股份单位产品用水量-吨钢新水耗
</t>
  </si>
  <si>
    <t>来源：24年可持续发展报告
24年吨钢耗新水量</t>
  </si>
  <si>
    <t>来源：24年可持续发展报告
24年吨钢号新水量</t>
  </si>
  <si>
    <t>来源：24年可持续发展报告-24年年度新鲜水用水量
24年年报</t>
  </si>
  <si>
    <t xml:space="preserve">来源：24年可持续发展报告-24年吨钢耗新水量
</t>
  </si>
  <si>
    <t xml:space="preserve">来源：24年可持续发展报告-24年吨钢耗新水
</t>
  </si>
  <si>
    <t xml:space="preserve">来源：24年可持续发展报告 新鲜水用量
24年年报
</t>
  </si>
  <si>
    <t>来源：24年可持续发展报告-吨钢耗新水</t>
  </si>
  <si>
    <t>来源：24年可持续发展报告-24年吨钢新水量</t>
  </si>
  <si>
    <t>来源：24年可持续发展报告-24年吨钢耗新水量</t>
  </si>
  <si>
    <t>来源：24年可持续发展报告
生态系统和生物多样性保护</t>
  </si>
  <si>
    <t>来源：24年可持续发展报告
生物多样性保护</t>
  </si>
  <si>
    <t>来源：24年ESG报告 p58
保护生态环境</t>
  </si>
  <si>
    <t>来源：24年可持续发展报告 p136
保护生物多样性</t>
  </si>
  <si>
    <t>来源：24年可持续发展报告 p94
保护生物多样性</t>
  </si>
  <si>
    <t xml:space="preserve">来源：24年社会责任报告 p46
生态系统保护
</t>
  </si>
  <si>
    <t>来源：24年可持续发展报告 p50
生物多样性保护</t>
  </si>
  <si>
    <t>来源：24年ESG报告 p59
生态系统保护</t>
  </si>
  <si>
    <t>来源：24年可持续发展报告 p61
生物多样性</t>
  </si>
  <si>
    <t>来源：24年ESG报告 p39
生物多样性保护工作</t>
  </si>
  <si>
    <t xml:space="preserve">来源：24年可持续发展报告 p37
注重生物多样性
</t>
  </si>
  <si>
    <t>来源：24年ESG报告 p40
保护生物多样性</t>
  </si>
  <si>
    <t>来源：24年可持续发展报告 p67
公司致力于推动生态文明建设，承诺在生产经营过程中践行生物多样性的保护和恢复工作</t>
  </si>
  <si>
    <t>来源：24年可持续发展报告 p62
生物多样性保护：在项目设计阶段依照相关要求做好生物多样性保护和土地利用评估...避免水土流失和森林砍伐</t>
  </si>
  <si>
    <t>来源：24年可持续发展报告 p38
生态和谐，打造美丽工厂</t>
  </si>
  <si>
    <t>来源：24年可持续发展报告 p66
绿色生态园区建设</t>
  </si>
  <si>
    <t>来源：24年可持续发展报告 p87-88
生态保护 和谐发展</t>
  </si>
  <si>
    <t>来源：24年可持续发展报告 p37
积极打造花园工厂、清洁工厂，呈现工业与生态共融的美丽画卷</t>
  </si>
  <si>
    <t>来源：24年可持续发展报告 p43
打造绿色钢厂-蒹思湖、生态园</t>
  </si>
  <si>
    <t>来源：24年可持续发展报告
宝钢股份短期及长期生物多样性管理策略</t>
  </si>
  <si>
    <t>来源：24年可持续发展报告 p73
“积极推进生物多样性保护和生态修复治理等工作”</t>
  </si>
  <si>
    <t>来源：24年ESG报告 p58
“鼓励各子分公司推进厂区生态恢复治理”</t>
  </si>
  <si>
    <t>来源：24年可持续发展报告 p136
“针对建立生物多样性管理计划”</t>
  </si>
  <si>
    <t>来源：24年可持续发展报告 p94 p96
“更深入地参与生物多样性保护和生态修复工作”
“以期在生物多样性保护与生态环境修复方面做出更为深远和实质性的贡献”</t>
  </si>
  <si>
    <t>来源：24年社会责任报告 p46
治理
“明确生态保护责任，坚决筑牢区域生态安全屏障”</t>
  </si>
  <si>
    <t>来源：24年可持续发展报告 p50
“种植各种绿色植物，改善厂区环境质量”</t>
  </si>
  <si>
    <t>来源：24年ESG报告 p59
“绿化覆盖率由27.7%提升到35%”</t>
  </si>
  <si>
    <t>来源：24年可持续发展报告 p61
2024年，厂区绿化面积覆盖率进一步提升至26%</t>
  </si>
  <si>
    <t>来源：24年ESG报告 p40
柳州本部绿化覆盖率大幅提升至31.2%</t>
  </si>
  <si>
    <t>来源：24年可持续发展报告 p37
明确绿色生态修复目标</t>
  </si>
  <si>
    <t>来源：24年ESG报告 p40 p41
长江流域环境保护总体规划
长江大保护
厂区绿化率</t>
  </si>
  <si>
    <t>来源：24年可持续发展报告 p62
高度重视厂内绿化建设，扎实推进绿地养护工作...加强对厂内栖息的野生动物的保护</t>
  </si>
  <si>
    <t>来源：24年可持续发展报告 p66
常态化开放10个工业旅游景点和环保设施</t>
  </si>
  <si>
    <t>来源：24年可持续发展报告 p87
生态环境修复</t>
  </si>
  <si>
    <t>来源：24年可持续发展报告 p37
绿化率达15%；2025年，对新投产使用的电弧炉区域进行绿化规划；绿化面积达44641平方米</t>
  </si>
  <si>
    <t>来源：24年可持续发展报告 p43
打造绿色钢厂-打造生物栖息佳境</t>
  </si>
  <si>
    <t>分档赋分：
企业报告或相关文件中未披露员工转型相关培训、能力建设、技能提升相关信息→  0 分
披露转型间接相关技能培训：“环境相关”“数字化技能”“智能制造”“ESG”等培训→ 5分
披露转型直接相关技能培训：“绿色技能”“低碳”“转型”“节能”"减排“等培训→10分</t>
  </si>
  <si>
    <t>来源：24年可持续发展报告 p82
“宝钢股份共开展环保相关培训5场”</t>
  </si>
  <si>
    <t>来源：24年可持续发展报告 p68
环保培训</t>
  </si>
  <si>
    <t>来源：24年ESG报告 p18
“开展ESG培训”</t>
  </si>
  <si>
    <t>来源：24年可持续发展报告 p99
“碳排放管理和排污许可相关的知识专业培训”</t>
  </si>
  <si>
    <t>来源：24年可持续发展报告
环保宣贯</t>
  </si>
  <si>
    <t>来源：24年社会责任报告 p34
培养懂碳人才</t>
  </si>
  <si>
    <t>来源：24年可持续发展报告 p53
“碳排放数据质量管理培训”</t>
  </si>
  <si>
    <t xml:space="preserve">来源：24年ESG报告 p18
能力提升-持续提升公司ESG人员综合能力
</t>
  </si>
  <si>
    <t>来源：24年可持续发展 p48
环境保护培训</t>
  </si>
  <si>
    <t>来源：24年ESG报告 p39
环保培训次数</t>
  </si>
  <si>
    <t>来源：24年可持续发展报告 p81
ESG培训</t>
  </si>
  <si>
    <t>来源：24年ESG报告 p40
环保培训及宣教</t>
  </si>
  <si>
    <t>来源：24年可持续发展报告 p44
公司注重提高员工的碳排放专业知识素养，开展了丰富的“双碳”主题培训</t>
  </si>
  <si>
    <t>来源：24年可持续发展报告 p40
公司组织或参与低碳培训交流30余次</t>
  </si>
  <si>
    <t>来源：24年可持续发展报告 p48
环保培训宣贯
“绿色低碳优秀案例”“节能环保金点子”</t>
  </si>
  <si>
    <t>来源：24年可持续发展报告 p35
培养双碳人才</t>
  </si>
  <si>
    <t>来源：24年可持续发展报告 p69
“钢铁行业节水减排与废水处理技术”线上培训</t>
  </si>
  <si>
    <t>来源：24年可持续报告 P74“组织员工开展低碳节能理念培训，提升全员节能意
识和行动力”</t>
  </si>
  <si>
    <t>来源：24可持续发展报告 p36
低碳人才培养</t>
  </si>
  <si>
    <t>来源：24年可持续发展报告 p40
重视环保培训-定期开展环保在线监测培训、绿色低碳知识培训</t>
  </si>
  <si>
    <t>来源：2024、2023可持续发展报告
员工总数</t>
  </si>
  <si>
    <t>来源：24年ESG报告 p121
员工人数</t>
  </si>
  <si>
    <t>来源：2024、2023社会责任报告
在职员工</t>
  </si>
  <si>
    <t>来源：24年ESG发展报告
员工总人数</t>
  </si>
  <si>
    <t>来源：24年ESG报告 p62
雇员总数</t>
  </si>
  <si>
    <t>来源；24年可持续发展报告与23年可持续发展报告
员工总数</t>
  </si>
  <si>
    <t>来源：24年ESG报告
员工总人数</t>
  </si>
  <si>
    <t>来源：24年可持续发展报告中23、24年员工人数数据</t>
  </si>
  <si>
    <t>来源：24年可持续发展报告
员工总数</t>
  </si>
  <si>
    <t>来源：24年可持续发展报告
员工人数</t>
  </si>
  <si>
    <t>来源：24年可持续发展报告-公司员工总数
2023年可持续发展报告-公司在职员工</t>
  </si>
  <si>
    <t>来源：24、23年可持续发展报告-员工人数相关数据</t>
  </si>
  <si>
    <t>来源：24年可持续发展报告-在职员工数量
23年可持续发展报告-员工总数</t>
  </si>
  <si>
    <t>来源：24年可持续发展报告-24、23年职工总数</t>
  </si>
  <si>
    <t>来源：24年可持续发展报告-23、24 员工总数</t>
  </si>
  <si>
    <t>来源：24、23年年报
合并利润表
研发费用、营业总收入</t>
  </si>
  <si>
    <t>来源：24年年报
合并利润表
研发费用、营业总收入</t>
  </si>
  <si>
    <t>来源：24、23年可持续发展报告
节能低碳投资
24、23年年报
营业收入</t>
  </si>
  <si>
    <t>来源：24年可持续发展报告
节能技改总投资、节能技改总投入
24年年报
营业收入
23年未披露节能技改相关投资金额</t>
  </si>
  <si>
    <t>24年未披露节能技改总投资或相关描述</t>
  </si>
  <si>
    <t>24年可持续发展报告中只披露了一家子公司华菱涟钢的四个项目的分别投入，其余子公司的项目均未披露具体投资金额
20年可持续发展报告中也只披露了一家子公司华菱衡钢的三个项目的分别投入，其余子公司的项目均未披露具体投资金额</t>
  </si>
  <si>
    <t>来源：24、23年可持续发展报告
节能项目总投资
24、23年年报
营业收入</t>
  </si>
  <si>
    <t>来源：24、23年可持续发展报告
“投资1.3亿元，放行实施33个节能项目；投资1.4亿元，放行实施合同能源项目3项”
环保技改总金额
24、23年年报
营业收入</t>
  </si>
  <si>
    <t>来源：24年可持续发展报告
节能技改
24年年报
营业收入
23年未披露节能技改相关投资金额</t>
  </si>
  <si>
    <t>24年可持续发展报告中未披露节能技改投入或相关描述</t>
  </si>
  <si>
    <t>24年可持续发展报告中仅披露了日照基地的节能改造总投资额</t>
  </si>
  <si>
    <t>24年可持续发展报告-公司部分节能技改项目投资
23年可持续发展报告-重点环保项目投资
23、24年报</t>
  </si>
  <si>
    <t>24年可持续发展报告-24、23年节能技改总投入
24、23年年报</t>
  </si>
  <si>
    <t>24年仅披露了宁波钢铁一个项目的投资金额，未披露全企业范围内数据</t>
  </si>
  <si>
    <t>24年可持续发展报告中仅披露了一个项目的投资金额</t>
  </si>
  <si>
    <t>来源：24年可持续发展报告
节能低碳投资
24年年报
营业收入</t>
  </si>
  <si>
    <t>来源：24年可持续发展报告
节能技改总投资、节能技改总投入
24年年报
营业收入</t>
  </si>
  <si>
    <t>24年可持续发展报告中只披露了一家子公司华菱涟钢的四个项目的分别投入，其余子公司的项目均未披露具体投资金额</t>
  </si>
  <si>
    <t>来源：24年可持续发展报告
节能项目总投资
24年年报
营业收入</t>
  </si>
  <si>
    <t>来源：24年可持续发展报告
“投资1.3亿元，放行实施33个节能项目；投资1.4亿元，放行实施合同能源项目3项”
24年年报
营业收入</t>
  </si>
  <si>
    <t>来源：24年可持续发展报告
节能技改
24年年报
营业收入</t>
  </si>
  <si>
    <t>24年可持续发展报告-公司部分节能技改项目投资
24年报</t>
  </si>
  <si>
    <t>24年可持续发展报告-24年节能技改总投入
24年年报</t>
  </si>
  <si>
    <t>来源：24年可持续发展报告
24、23环保费用化投入
24、23年报
营业收入</t>
  </si>
  <si>
    <t>来源：24、23年可持续发展报告、年报
环保投入、营业收入</t>
  </si>
  <si>
    <t>来源：24年可持续发展报告
24、23环保投入
24、23年年报
营业收入</t>
  </si>
  <si>
    <t>来源：24、23年可持续报告
环保投入
24、23年年报
营业收入</t>
  </si>
  <si>
    <t>来源：24、23年可持续报告
环保项目总投资
24、23年年报
营业收入</t>
  </si>
  <si>
    <t>来源：24、23年可持续报告
年度投入环境保护的资金总额
24、23年年报
营业收入</t>
  </si>
  <si>
    <t>来源：24、23年可持续报告
环保项目投入
24、23年年报
营业收入</t>
  </si>
  <si>
    <t>来源：24年可持续发展
24、23环保总投入
24、23年年报
营业收入</t>
  </si>
  <si>
    <t>来源：24年可持续发展报告
24、23环保总投入
24、23年报
营业收入</t>
  </si>
  <si>
    <t>来源：24年可持续发展报告中24、23年数据
环保总投资
24、23年年报
营业收入</t>
  </si>
  <si>
    <t>来源：24年可持续发展报告
24、23环保总投入
24、23年年报
营业收入</t>
  </si>
  <si>
    <t>来源：24年可持续发展报告-23、24年环保总投入
23、24年报</t>
  </si>
  <si>
    <t>来源：24年可持续发展报告
24、23环保总投入
24、23年年报</t>
  </si>
  <si>
    <t>来源：24年可持续发展报告-24、23环保投入费用
24、23年年报</t>
  </si>
  <si>
    <t>未披露环保支出</t>
  </si>
  <si>
    <t>来源：24年可持续发展报告-公司环保投入总金额
23年可持续发展报告-环保投入总金额
24、23年年报</t>
  </si>
  <si>
    <t>来源：24年可持续报告 环保投入 环保总投入114,696万元
23年可持续发展报告-公司投入环保资金总额为45908.66万元</t>
  </si>
  <si>
    <t>来源：24年可持续发展报告-24、23年环保投入费用
24、23年年报</t>
  </si>
  <si>
    <t>来源：24年可持续发展报告-24、23年环保总投入
24、23年年报</t>
  </si>
  <si>
    <t>来源：24年可持续发展报告
24环保费用化投入
24年报
营业收入</t>
  </si>
  <si>
    <t>来源：24年可持续发展报告、年报
环保投入、营业收入</t>
  </si>
  <si>
    <t>来源：24年可持续发展报告
环保投入
24年年报
营业收入</t>
  </si>
  <si>
    <t>来源：24年可持续报告
环保投入
24年年报
营业收入</t>
  </si>
  <si>
    <t>来源：24年可持续报告
环保项目总投资
24年年报
营业收入</t>
  </si>
  <si>
    <t>来源：24年可持续报告
年度投入环境保护的资金总额
24年年报
营业收入</t>
  </si>
  <si>
    <t>来源：24年可持续报告
环保项目投入
24年年报
营业收入</t>
  </si>
  <si>
    <t>来源：24年可持续发展
环保总投入
24年年报
营业收入</t>
  </si>
  <si>
    <t>来源：24年可持续发展报告
环保总投入
24年报
营业收入</t>
  </si>
  <si>
    <t>来源：24年可持续发展报告
环保总投资
24年年报
营业收入</t>
  </si>
  <si>
    <t>来源：24年可持续发展报告
环保总投入
24年年报
营业收入</t>
  </si>
  <si>
    <t>来源：24年可持续发展报告-24年环保总投入
24年报</t>
  </si>
  <si>
    <t>来源：24年可持续发展报告-24年环保总投入
24年年报</t>
  </si>
  <si>
    <t>来源：24年可持续发展报告-环保投入费用
24年年报</t>
  </si>
  <si>
    <t>来源：24年可持续发展报告-公司环保投入总金额
24年年报</t>
  </si>
  <si>
    <t>来源：24年可持续报告 环保投入 环保总投入114,696万元
24年年报</t>
  </si>
  <si>
    <t>来源：24年可持续发展报告-24年环保投入费用
24年年报</t>
  </si>
  <si>
    <t>来源：24年可持续发展报告 p62
先后实施了四期、一期、三期焦炉上升管增设荒煤气显热回收改造…有力支撑焦炉工序能耗下降</t>
  </si>
  <si>
    <t>来源：24年可持续发展报告 p93
宝武水务：烧结烟气脱硫脱硝节能改造</t>
  </si>
  <si>
    <t>来源：24年可持续发展报告 p46
案例：高炉冲渣余热回收技术</t>
  </si>
  <si>
    <t>来源：24年可持续发展报告 p117
案例 华菱湘钢 加速实施能效提升项目：2#3#高炉鼓风机脱湿项目、宽厚板轧钢线烤包器改造项目</t>
  </si>
  <si>
    <t>来源：24年可持续发展报告 p75
案例 青岛特钢——打造跨行业循环经济与协同降碳示范样本</t>
  </si>
  <si>
    <t>来源：24年可持续发展报告 p39
为推进超低排放，朝阳钢铁实施烧结脱硫脱硝项目</t>
  </si>
  <si>
    <t>来源：24年可持续发展报告 p49
公司焦化厂9#焦炉上升管荒煤气余热回收与利用项目</t>
  </si>
  <si>
    <t>来源：24年可持续发展报告 p51
公司重点推进实施1#高炉煤气精脱硫、南区焦炉煤气…推动热风炉烟气超低排放</t>
  </si>
  <si>
    <t>来源：24年可持续发展报告 p54
钢城基地完成焦炉上升管换热器项目，加快推进外供鲁碧微粉线煤气管道等节能项目</t>
  </si>
  <si>
    <t>来源：24年可持续发展报告 p54
烧结烟气脱硫脱硝设备</t>
  </si>
  <si>
    <t>24年可持续发展报告 p27
以采矿、选矿、焦化、烧结（球团）、高炉、炼钢、轧钢、动力公辅8个工序为横向</t>
  </si>
  <si>
    <t>24年可持续发展报告 p48
推广节能技术应用，完成3#、4#焦炉荒煤气余热回收、3#烧结主抽风机节能升级改造</t>
  </si>
  <si>
    <t>来源：24年可持续发展报告 p37
项目简介与成果：通过烧结机漏风治理、提高钢包精炼炉利用率等措施，2024年全年节电量达1320万度，大幅提升了能源利用效率</t>
  </si>
  <si>
    <t>来源：24年可持续发展报告 p44
京唐公司：焦炉上升管余热回收重点治理项目</t>
  </si>
  <si>
    <t>未披露相关技术</t>
  </si>
  <si>
    <t xml:space="preserve">来源：24年可持续发展报告 p75
案例：热轧烟气余热利用及脱硫一体化项目
</t>
  </si>
  <si>
    <t>来源：24年可持续报告P56
“钢铁烧结余热极致利用协同减污降碳关键技术及装备获评科技成果”</t>
  </si>
  <si>
    <t>来源：24年可持续发展报告 p28
更新设备-新建660平方米烧结机</t>
  </si>
  <si>
    <t>来源：24年可持续发展报告 p24
公司超低排档改造重点项目高炉炉顶均压放散治理</t>
  </si>
  <si>
    <t>来源：24年可持续发展报告 p58
极致能效工程能效标杆示范企业</t>
  </si>
  <si>
    <t>来源：24年可持续发展报告 p30
“双碳最佳实践能效标杆示范企业”</t>
  </si>
  <si>
    <t>来源：24年ESG报告 p36
“2024年度钢铁极致效能工程能效标杆三年行动进步突出企业”</t>
  </si>
  <si>
    <t>来源：24年可持续发展报告 p16
入选行业“双碳最佳实践能效标杆示范厂”培育企业名单</t>
  </si>
  <si>
    <t>来源：24年可持续发展报告 p73
入选“双碳最佳实践能效标杆示范厂”培育企业</t>
  </si>
  <si>
    <t>来源：24年社会责任报告 p11
极致能效工程能效标杆三年行动示范单位</t>
  </si>
  <si>
    <t>来源：24年可持续发展报告 p49
双碳最佳实践能效标杆示范工序/设备</t>
  </si>
  <si>
    <t>来源：24年ESG报告 p55
双碳最佳实践能效标杆示范企业</t>
  </si>
  <si>
    <t>来源：24年可持续发展报告 p17
双碳最佳实践能效标杆示范企业</t>
  </si>
  <si>
    <t>24年可持续发展报告中未找到相关内容</t>
  </si>
  <si>
    <t>来源：24年可持续发展报告 p29
双碳最佳实践能效标杆示范厂培育突出进步企业</t>
  </si>
  <si>
    <t>来源：24年ESG报告 p6
双碳最佳实践能效标杆示范厂培育企业</t>
  </si>
  <si>
    <t>24年可持续发展报告未找到相关内容</t>
  </si>
  <si>
    <t>来源：24年可持续发展报告 p52
2024年度钢铁极致能效工程能效标杆三年行动先进企业</t>
  </si>
  <si>
    <t>未披露极致能效相关表述</t>
  </si>
  <si>
    <t>来源：24年可持续发展报告 p28
2024年度钢铁极致能效工程能效标杆三年行动先进企业</t>
  </si>
  <si>
    <t>来源：中国钢铁工业协会官网：宝钢湛江钢铁有限公司超低排放改造和评估检测进展情况公示内容
宝山钢铁股份有限公司（宝山基地）超低排放改造和评估进展情况公示内容</t>
  </si>
  <si>
    <t>来源：宝武集团鄂城钢铁有限公司超低排放改造和评估监测进展情况公示内容</t>
  </si>
  <si>
    <t>来源：中国钢铁工业协会官网：河钢乐亭钢铁有限公司超低排放改造和评估监测进展情况公示内容</t>
  </si>
  <si>
    <t>官网未公示</t>
  </si>
  <si>
    <t>来源：中国钢铁工业协会官网：鞍钢股份鲅鱼圈钢铁分公司超低排放改造和评估监测进展情况公示内容</t>
  </si>
  <si>
    <t>来源：中国钢铁工业协会：山西太钢不锈钢股份有限公司超低排放改造和评估监测进展情况公示内容</t>
  </si>
  <si>
    <t>来源：中国钢铁工业协会官网：马鞍山钢铁股份有限公司清洁运输部分超低排放改造和评估监测进展情况公示内容</t>
  </si>
  <si>
    <t>来源：中国钢铁工业协会官网：山东钢铁集团永锋临港有限公司超低排放改造和评估监测进展情况公示内容</t>
  </si>
  <si>
    <t>来源：中国钢铁工业协会官网：内蒙古包钢钢联股份有限公司超低排放改造...</t>
  </si>
  <si>
    <t>来源：中国钢铁工业协会官网：重庆钢铁股份有限公司清洁运输部分超低排放改造和评估监测进展情况公示内容</t>
  </si>
  <si>
    <t>来源：中国钢铁工业协会：南京钢铁股份有限公司超低排放改造和评估监测进展公示内容</t>
  </si>
  <si>
    <t>来源：中国钢铁工业协会官网：首钢股份公司迁安钢铁公司通过全工序超低排放评估监测</t>
  </si>
  <si>
    <t>来源：中国钢铁工业协会官网：本钢板材股份有限公司超低排放改造评估监测进展情况公示内容</t>
  </si>
  <si>
    <t>来源：中国钢铁工业协会官网：凌源钢铁集团有限责任公司超低排放改造和评估监测进展情况公示内容</t>
  </si>
  <si>
    <t>来源：24年可持续发展报告 p65
CCUS技术研究</t>
  </si>
  <si>
    <t>来源：24年可持续发展报告 p21
建成CCUS实验研究平台，开发CO2碳酸化与合成甲醇技术</t>
  </si>
  <si>
    <t>来源：24年可持续发展报告 p28
2024年5月，腾讯集团公布“碳寻计划”首批终选名单，基于河钢-必和必拓“钢铁行业CCUS工业示范项目”…进而向“规模化应用推广”转变</t>
  </si>
  <si>
    <t>来源：24年可持续发展报告 p106
案例 华菱湘钢 制定减碳行动方案：捕集封存利用</t>
  </si>
  <si>
    <t>来源：24年可持续发展报告 p81
案例 青岛特钢——成功研发特焊材料，助力突破CCUS技术瓶颈</t>
  </si>
  <si>
    <t>来源：24年可持续发展报告 p34
打通高炉-转炉长流程低碳排放钢生产工艺，并完成两批次稳定生产；…推动钢铁行业从“碳冶金”转向“氢冶金”</t>
  </si>
  <si>
    <t>来源：24年可持续发展报告 p18
开展二氧化碳捕集利用与封存工业示范：公司实施CCUS（二氧化碳捕集利用与封存）工业示范项目，采用化学吸收法工艺…主要用于炼钢转炉使用</t>
  </si>
  <si>
    <t>来源：24年可持续发展报告 p45
低碳冶金技术：生物质应用、富氢碳循环高炉、氢基竖炉</t>
  </si>
  <si>
    <t>来源：24年可持续发展报告 p50
超临界二氧化碳输送管是基于CCUS/CCS（碳捕捉与封存）技术，用于特殊二氧化碳的封存和驱油的产品</t>
  </si>
  <si>
    <t>来源：24年可持续发展报告 p52
案例 开展高炉煤气零放散攻关</t>
  </si>
  <si>
    <t>来源：24年可持续发展报告 p26
案例：包钢股份输送管线管助力CCUS项目建设</t>
  </si>
  <si>
    <t>来源：24年可持续发展报告 p53
研究转炉大废钢比技术的应用，降低钢铁料消耗，跟进前沿低碳技术研发和应用</t>
  </si>
  <si>
    <t>来源：24年可持续发展报告 p53
案例：LCO2储运用低温钢开发和应用中提到了CCUS相关项目实践</t>
  </si>
  <si>
    <t>来源：24年可持续发展报告 p38
开展前沿低碳研究：积极推进二氧化碳捕集与利用...京唐公司积极探索高炉煤气二氧化碳捕集，100立方米/小时高炉煤气二氧化碳捕集中试正按计划开展试验</t>
  </si>
  <si>
    <t>来源：24年可持续发展报告 p49
技术降碳：跟踪围绕以高炉富氢冶炼和气基竖炉富氢冶炼为主的技术路线；积极探索二氧化碳资源化利用的途径、技术和方法。</t>
  </si>
  <si>
    <t>来源：24年可持续发展报告 p53
石灰窑尾气CO2捕集利用</t>
  </si>
  <si>
    <t>来源：24年可持续发展报告 p33
到2050年，建立绿色低碳...发挥二氧化碳捕集、封存、利用和！会等保障性作用</t>
  </si>
  <si>
    <t>来源：24年可持续发展报告 p38
案例-HyCROF（富氢碳循环氧气高炉）项目入选国家首批绿色低碳先进技术示范项目</t>
  </si>
  <si>
    <t>来源：24年可持续发展报告 p87
数字化智能改造-烟气油污智能识别</t>
  </si>
  <si>
    <t>来源：24年可持续发展报告 p60
绿色智慧服务-宝信软件</t>
  </si>
  <si>
    <t>来源：24年ESG报告 p23
新一代提钒转炉全自动智能控制技术实现新突破</t>
  </si>
  <si>
    <t>来源：24年可持续发展报告 p88
布局钢铁行业首个人工智能钢铁大模型</t>
  </si>
  <si>
    <t>来源：24年可持续发展报告 p27
喷煤无人化智能天车系统，推进智能化作业模式</t>
  </si>
  <si>
    <t>来源：24年社会责任报告 p63
加强智能化建设
“加快AI+赋能产业数字化升级</t>
  </si>
  <si>
    <t>来源：24年可持续发展报告 p39
AI 赋能炼钢数智升级，新 MES 系统成功上线</t>
  </si>
  <si>
    <t>来源：24年ESG报告 p46
“实现主工艺装备大型化和智能化生产水平提升”</t>
  </si>
  <si>
    <t>来源：24年可持续发展报告 p19
钢城基地智慧管控中心上线，开启能源管理新篇章</t>
  </si>
  <si>
    <t>来源：24年ESG报告 p32
“智能标记机器人、AGV智能运辊机器人”</t>
  </si>
  <si>
    <t>来源：24年可持续发展报告 p14
包钢股份引进煤质检测机器人智能化验系统</t>
  </si>
  <si>
    <t>来源：24年ESG报告 p36
实现料场“无人化”！“智慧料场”系统正式上线</t>
  </si>
  <si>
    <t>来源：24年可持续发展报告 p96
智慧能源管控一体化项目上线</t>
  </si>
  <si>
    <t>来源：24年可持续发展报告 p76
智慧制造-钢包热修多智能体协同机器人</t>
  </si>
  <si>
    <t>来源：24年可持续发展报告 p20
专题2:智慧炼钢，提升工作效率：打造国内首套全流程智能一键浇钢系统</t>
  </si>
  <si>
    <t>来源：24年可持续发展报告 p17
投入使用光整 AI 智能模型，生产效率和质量双提升</t>
  </si>
  <si>
    <t>来源：24年可持续发展报告 p52
推进高炉大数据智能化管控系统</t>
  </si>
  <si>
    <t>来源：24年可持续报告P57
数字化转型</t>
  </si>
  <si>
    <t>来源：24年可持续发展报告 p17
智能激光刀让新钢板材更加亮眼</t>
  </si>
  <si>
    <t>来源：24年可持续发展报告 p48
智慧矿山智能综合管控平台上线</t>
  </si>
  <si>
    <t>来源：24年可持续发展报告 p108
“以汽车用钢和硅钢为核心“</t>
  </si>
  <si>
    <t>来源：24年可持续发展报告 p28
“实现高品质汽车板及硅钢产品的稳定化制造”</t>
  </si>
  <si>
    <t>来源：24年ESG报告 p32
“开发低碳汽车板”</t>
  </si>
  <si>
    <t>来源：24年可持续发展报告 p50
持续提升汽车板产品质量和客户满意度”</t>
  </si>
  <si>
    <t>来源：24年可持续发展报告 p22
超高强大桥缆索钢</t>
  </si>
  <si>
    <t>来源：24年社会责任报告 p62
船舶——北极光先锋</t>
  </si>
  <si>
    <t>来源：24年可持续发展报告 p36
7项产品全球首发
8项产品国内首发</t>
  </si>
  <si>
    <t>来源：24年ESG报告 p46
“马钢首款减碳超30%的汽车板组产及供货”</t>
  </si>
  <si>
    <t>来源：24年可持续发展报告 p49
绿色产品设计与研发</t>
  </si>
  <si>
    <t>来源：24年ESG报告 p8
“产品广泛应用于汽车、船舶、能源交通…”</t>
  </si>
  <si>
    <t>来源：24年可持续发展报告 p13
“产品广泛应用于国之重器”</t>
  </si>
  <si>
    <t>来源：24年ESG报告 p32
750L高强汽车钢</t>
  </si>
  <si>
    <t>来源：24年可持续发展报告 p50
绿色产品：公司的绿色创新产品聚集于轻量化、长寿命、耐火...等高端品种，聚力船舶海洋工程、风电、新能源汽车等国家重点清洁能源领域</t>
  </si>
  <si>
    <t>来源：24年可持续发展报告 p7
产品集群：汽车板、电工钢、中厚板</t>
  </si>
  <si>
    <t>来源：24年可持续发展报告 p39
实现汽车用高钙硫系高强韧钢产品开发和批量生产</t>
  </si>
  <si>
    <t>来源：24年可持续发展报告 p21
汽车板产量282.5万吨</t>
  </si>
  <si>
    <t>来源：24年可持续发展报告 p86
超深冲高纯净度电池壳用钢NDCK、经济型汽车轻卡车轮用钢NG5OKL、汽车结构用钢</t>
  </si>
  <si>
    <t>来源：24年可持续报告P7
“公司产品覆盖机械、汽车、建筑、能源、交通等多个关键行业”；”公司的产品广泛应用于
清洁能源项目”</t>
  </si>
  <si>
    <t>来源：24年可持续发展报告 p78
新钢高端船板被用于“梦想”号大洋钻探船</t>
  </si>
  <si>
    <t>来源：24年可持续发展报告 p68
近年来，公司积极调整海外市场战略...风电用钢、建筑用钢、容器用钢、桥梁用钢、汽车钢、优钢等钢材产品依托中欧班列销往中亚五国、俄罗斯等地</t>
  </si>
  <si>
    <t>来源：24年可持续发展报告 p114
“公司凭借卓越的产品质量实力，收获了客户的高度认可，并取得多项行业权威奖项。“</t>
  </si>
  <si>
    <t>24年可持续发展报告中未找到相关内容
参考宝山钢铁相关披露信息</t>
  </si>
  <si>
    <t>来源：24年ESG报告 p71
“2024年，公司9项产品获评2024年度冶金产品实物质量品牌培育金杯优质产品”</t>
  </si>
  <si>
    <t>来源：24年可持续发展报告 p10 p15
金杯特优/优质产品
产品质量/管理创新</t>
  </si>
  <si>
    <t>来源：24年社会责任报告 p62
2024年度中国质量协会质量技术奖二等奖</t>
  </si>
  <si>
    <t>来源：24年可持续发展报告 p24
质量技术奖
中国质量创新及质量改进发表交流活动二等奖</t>
  </si>
  <si>
    <t>来源：24年可持续发展报告 p79
中国质量协会质量技术奖二等奖</t>
  </si>
  <si>
    <t>来源：24年ESG报告 p11
金杯优质产品</t>
  </si>
  <si>
    <t>来源：24年可持续发展报告 p41
金杯优质产品</t>
  </si>
  <si>
    <t>来源：24年ESG报告 p71
金杯优质产品</t>
  </si>
  <si>
    <t>来源：24年可持续发展报告 p82
南钢股份2024年质量管理荣誉及奖项</t>
  </si>
  <si>
    <t>来源：24年可持续发展报告 p83
荣获中国钢铁工业协会“金杯优质产品”</t>
  </si>
  <si>
    <t>未披露相关奖项</t>
  </si>
  <si>
    <t>来源：24年可持续发展报告 p24
冶金产品实物质量“金杯奖”</t>
  </si>
  <si>
    <t>来源：24年可持续发展报告 p86
2023年中钢协冶金产品实物质量金杯优质产品</t>
  </si>
  <si>
    <t>来源：可持续报告P7 “并荣获国家冶金产品“金杯奖”"</t>
  </si>
  <si>
    <t>来源：24年可持续发展报告
废钢回收量
23年可持续发展报告-外购废钢714万吨+用户废钢直接回收量35.1万吨
24、23年年报
生产量</t>
  </si>
  <si>
    <t>来源：24年可持续发展报告
铁资源与废钢循环利用
2024年本部废钢用量+太钢集团废钢回收再利用量
24年年报 生产量
23年均未披露废钢回收量</t>
  </si>
  <si>
    <t>24年可持续发展报告中均未披露废钢回收量或相关表述</t>
  </si>
  <si>
    <t>24年可持续发展报告均未披露废钢回收量</t>
  </si>
  <si>
    <t>来源：24、23年可持续发展报告
废钢铁接受总量
24年年报、23年年报
生产量</t>
  </si>
  <si>
    <t>来源：24年可持续发展报告中24、23年的废钢回收再利用量
24、23年报
生产量</t>
  </si>
  <si>
    <t>来源：24年可持续发展报告
公司本部废钢用量
23年可持续发展报告
全年回收废钢
24、23年年报
生产量</t>
  </si>
  <si>
    <t>24年可持续发展报告未披露废钢回收量</t>
  </si>
  <si>
    <t>24年可持续发展报告-23、24年废钢使用总量数据
23、24年报</t>
  </si>
  <si>
    <t>24年可持续发展报告-24、23年废钢内部回收量
24、23年报</t>
  </si>
  <si>
    <t>来源：24年可持续发展报告
废钢回收量、原料消耗-废钢
24年年报
生产量</t>
  </si>
  <si>
    <t>来源：24年可持续发展报告
铁资源与废钢循环利用
2024年本部废钢用量+太钢集团废钢回收再利用量
24年年报 生产量</t>
  </si>
  <si>
    <t>24年可持续发展报告中未披露废钢回收量或相关表述</t>
  </si>
  <si>
    <t>来源：24年可持续发展报告
废钢铁接受总量
24年年报
生产量</t>
  </si>
  <si>
    <t>来源：24年可持续发展报告中24年的废钢回收再利用量
24年报
生产量</t>
  </si>
  <si>
    <t>来源：24年可持续发展报告
公司本部废钢用量
24年年报
生产量</t>
  </si>
  <si>
    <t>24年可持续发展报告-24年废钢使用总量数据
24年报</t>
  </si>
  <si>
    <t>24年可持续发展报告-24年废钢内部回收量
24年报</t>
  </si>
  <si>
    <t>总分</t>
  </si>
  <si>
    <t>正向指标·空值处理统一逻辑说明（钢铁行业打样版）</t>
  </si>
  <si>
    <t>本Sheet用于统一规范正向指标Sheet中【空值处理】列的填写逻辑。所有指标须按下表归入4类规则之一，正向指标Sheet中对应单元格仅保留极简引用词（如"适用规则A（强制-赋0）"）。本表为规则全文，应作为评分手册附录，供使用者查阅。</t>
  </si>
  <si>
    <t>一、分类体系总览</t>
  </si>
  <si>
    <t>规则编号</t>
  </si>
  <si>
    <t>指标类别</t>
  </si>
  <si>
    <t>触发条件（定义）</t>
  </si>
  <si>
    <t>空值处理方式</t>
  </si>
  <si>
    <t>核心理由</t>
  </si>
  <si>
    <t>适用指标示例</t>
  </si>
  <si>
    <t>规则A</t>
  </si>
  <si>
    <t>强制披露·定性指标</t>
  </si>
  <si>
    <t>监管或主流框架（沪深交易所可持续发展报告指引、TCFD、GRI）明确要求披露的定性指标</t>
  </si>
  <si>
    <t>直接赋 0 分</t>
  </si>
  <si>
    <t>强制披露缺失代表企业在最基础的信息透明度上存在违规或重大疏漏，评价完整性要求最严惩罚</t>
  </si>
  <si>
    <t>碳中和目标、碳达峰目标、转型规划、治理架构、气候风险管理体系、气候相关风险和机遇、碳排放披露情况</t>
  </si>
  <si>
    <t>规则B</t>
  </si>
  <si>
    <t>强制披露·定量指标（含行业专属关键指标）</t>
  </si>
  <si>
    <t>监管明确要求披露的定量指标，以及行业专属的关键转型表现指标——无论是否强制，未披露均视为关键缺失</t>
  </si>
  <si>
    <t>定量强制披露缺失表明企业未履行法定义务；行业专属关键指标未披露直接表明转型表现存在重大不透明</t>
  </si>
  <si>
    <t>物理碳排放强度、营收碳排放强度、稳就业与促就业、研发投入占比；系统能效提升、环保减排改造、冶炼技术突破、数字化赋能、产品结构优化、废钢回收率</t>
  </si>
  <si>
    <t>规则C</t>
  </si>
  <si>
    <t>鼓励披露·定量/定性指标（期望型）</t>
  </si>
  <si>
    <t>非强制要求、但政策和主流框架明确鼓励披露的定量指标，企业未披露具有信息不对称风险</t>
  </si>
  <si>
    <t>赋行业下四分位数（P25）</t>
  </si>
  <si>
    <t>体现"不披露则假设表现偏下"的政策导向，同时避免赋0对数据稀疏指标造成极端惩罚</t>
  </si>
  <si>
    <t>可再生能源占比、用水效率（吨钢耗新水量）、节能技改投资占比、环保投入金额占比、员工培训</t>
  </si>
  <si>
    <t>规则D</t>
  </si>
  <si>
    <t>非关键披露·补充项（定性/定量）</t>
  </si>
  <si>
    <t>既非强制也非主流框架明确鼓励，属于补充性/加分性指标，企业未披露属正常情况</t>
  </si>
  <si>
    <t>赋行业中位数（P50）</t>
  </si>
  <si>
    <t>补充项缺失不代表表现差，使用中位数作为中性假设，不惩罚也不奖励，避免对评分产生系统性偏差</t>
  </si>
  <si>
    <t>其他环境目标、其他战略、气候压力测试、生物多样性</t>
  </si>
  <si>
    <t>二、各指标规则对应关系一览表</t>
  </si>
  <si>
    <t>序号</t>
  </si>
  <si>
    <t>三级指标名称</t>
  </si>
  <si>
    <t>一级维度</t>
  </si>
  <si>
    <t>处理方式简述</t>
  </si>
  <si>
    <t>强制披露·定性 → 赋0分</t>
  </si>
  <si>
    <t/>
  </si>
  <si>
    <t>非关键补充 → P50（无折扣）</t>
  </si>
  <si>
    <t>强制披露·定量 → 赋0分</t>
  </si>
  <si>
    <t>鼓励披露·定量 → P25</t>
  </si>
  <si>
    <t>鼓励披露·定性 → P25对应档</t>
  </si>
  <si>
    <t>强制披露·定量/行业关键 → 赋0分</t>
  </si>
  <si>
    <t>钢铁行业转型金融评价指标体系 —— 权重设定说明</t>
  </si>
  <si>
    <t>说明：本表记录每个三级指标初始权重的设定依据，综合参考TCFD、TPI、ICMA CTB、GFANZ等国际框架，以及《转型金融支持经济活动目录》、河北省钢铁行业转型金融工作指引等国内政策文件，结合专家判断形成。</t>
  </si>
  <si>
    <t>当前比重系数</t>
  </si>
  <si>
    <t>权重设定依据（理论+框架参考）</t>
  </si>
  <si>
    <t>TCFD明确将减排目标列为战略披露核心要素；TPI方法论将量化减排目标作为碳绩效评估的前提条件；GFANZ框架要求主体披露符合1.5°C路径的净零目标。碳中和目标作为企业转型的最高层级承诺，权重应显著高于其他目标类指标。与碳达峰目标并列设为0.7，体现"承诺先行"逻辑。</t>
  </si>
  <si>
    <t>《转型金融支持经济活动目录》要求转型主体碳达峰目标不得落后于国家目标；河北省指引将碳达峰作为整体转型方案的首要原则。与碳中和目标并列0.7，体现双碳目标在转型评价中的基础性地位。</t>
  </si>
  <si>
    <t>环境目标完整性与质量</t>
  </si>
  <si>
    <t>SASB标准要求企业披露与行业相关的环境绩效指标；TCFD建议披露支撑转型路径的配套环境目标（能效、可再生能源等）。该指标为辅助性目标评估，权重设为0.2，与核心碳目标形成"核心+辅助"层级。</t>
  </si>
  <si>
    <t>转型规划完善程度</t>
  </si>
  <si>
    <t>ICMA CTB将转型战略和实施路径作为气候转型债券的核心评估要素；TCFD《指标、目标和转型计划指南》将转型计划列为关键披露项；GFANZ要求披露涵盖短期、中期、长期的完整转型战略。转型规划是目标落地的直接载体，权重设为0.7，体现"战略可执行性"要求。</t>
  </si>
  <si>
    <t>低碳相关顶层战略</t>
  </si>
  <si>
    <t>作为转型规划的替代性指标，仅在企业未制定专门转型规划时触发。SASB将可持续发展战略纳入治理维度披露。属于补充性评估，权重设为0.2。</t>
  </si>
  <si>
    <t>TCFD将治理列为四大支柱之首；GFANZ框架将治理体系作为转型计划的基础条件；ICMA CTB要求发行人披露治理架构对转型战略的支撑机制。河北省指引明确将治理纳入整体转型方案评估。权重0.7体现治理的"地基"作用。</t>
  </si>
  <si>
    <t>风险管理完善程度</t>
  </si>
  <si>
    <t>TCFD第二支柱"风险管理"要求企业描述气候风险的识别、评估、管理和监控流程；河北省指引要求企业将气候风险纳入整体风险管理体系。权重0.7反映风险管理在实施保障中的重要性。</t>
  </si>
  <si>
    <t>风险机遇识别完善程度</t>
  </si>
  <si>
    <t>TCFD要求企业识别与其相关的气候相关风险和机遇，并进行财务影响分析。该指标为风险管理的深化延伸，权重略低于管理体系本身（ 0.5）。</t>
  </si>
  <si>
    <t>压力测试完善程度</t>
  </si>
  <si>
    <t>TCFD建议但不强制要求情景分析；TPI方法论中使用情景对标但未要求企业自行开展压力测试。当前行业压力测试实践尚不成熟，权重设为0.1，作为前瞻性评估的探索性指标。</t>
  </si>
  <si>
    <t>TCFD将温室气体排放披露列为第三支柱"指标与目标"的核心要求；TPI将碳排放数据的可获性作为碳绩效评估的前提；《企业可持续披露准则》要求披露范围一、范围二温室气体排放。数据披露是绩效评估的前提，权重设为0.7。</t>
  </si>
  <si>
    <t>环比变化+当期横向位置</t>
  </si>
  <si>
    <t>TPI方法论的核心指标即为碳排放强度的年度改善率（碳排放管理质量评分）；GFANZ框架以碳强度下降路径作为评估转型进展的关键量化指标。物理碳排放强度是评价企业脱碳进展的最直接指标，权重设为0.7。</t>
  </si>
  <si>
    <t>营收碳排放强度反映企业经济活动的碳效率，是对物理碳排放强度的补充。TCFD鼓励披露碳强度指标，但该指标受产品价格波动影响较大，权重设为0.7作为辅助指标。</t>
  </si>
  <si>
    <t>自发可再生能源占比</t>
  </si>
  <si>
    <t>ICMA CTB将能源结构转型列为转型战略的关键组成部分；TPI将能源转型路径作为评估要素之一。自发可再生能源为企业自有绿电能力，当前钢铁行业自建光伏/风电规模有限，权重设为0.2。</t>
  </si>
  <si>
    <t>外购绿电占比</t>
  </si>
  <si>
    <t>同上。外购绿电反映企业绿色电力采购意愿与能力，当前绿电交易市场处于发展初期，行业差异大，权重设为0.2。</t>
  </si>
  <si>
    <t>吨钢耗新水量</t>
  </si>
  <si>
    <t>SASB钢铁行业标准要求披露水资源管理和消耗数据；工信部《钢铁行业规范条件（2025年版）》对吨钢耗新水提出明确要求。水效指标与钢铁生产直接相关且数据可获性较高，权重设为0.2。</t>
  </si>
  <si>
    <t>制度+行动</t>
  </si>
  <si>
    <t>TNFD（自然相关财务披露框架）正在推动生物多样性信息披露，但当前钢铁行业该领域披露尚处起步阶段。权重设为0.1作为前瞻性引导指标。</t>
  </si>
  <si>
    <t>培训披露</t>
  </si>
  <si>
    <t>ICMA CTB提及公正转型的社会维度；ILO公正转型指南强调劳动者技能培训。当前钢铁行业该指标披露形式多样、难以量化比较，权重设为0.1。</t>
  </si>
  <si>
    <t>员工规模变化</t>
  </si>
  <si>
    <t>公正转型是社会可持续性的核心维度，河北省指引将社会影响纳入转型评估。钢铁行业就业影响显著，权重设为0.3反映公正转型的重要性。</t>
  </si>
  <si>
    <t>TPI方法论将低碳技术创新投入作为评估转型准备度的重要因素；河北省指引将技术创新列入转型方案的关键支撑。研发投入是技术突破的资金保障，权重设为0.2。</t>
  </si>
  <si>
    <t>节能技改是钢铁行业最直接的减碳手段之一，但该指标当前行业披露率较低（仅部分龙头企业披露），且与研发投入存在一定重叠，权重设为0.2。</t>
  </si>
  <si>
    <t>环保投入反映企业环境治理的资金承诺，与节能减排间接相关。权重设为0.1，低于节能技改和研发投入。</t>
  </si>
  <si>
    <t>节能技术应用</t>
  </si>
  <si>
    <t>人民银行转型金融标准技术路径之一，权重设为0.3反映其行业特定重要性。</t>
  </si>
  <si>
    <t>超低排放改造</t>
  </si>
  <si>
    <t>人民银行转型金融标准技术路径之一，权重设为0.4反映其行业特定重要性。</t>
  </si>
  <si>
    <t>前沿技术应用</t>
  </si>
  <si>
    <t>人民银行转型金融标准技术路径之一，权重设为0.5反映其行业特定重要性。</t>
  </si>
  <si>
    <t>数字化手段应用</t>
  </si>
  <si>
    <t>人民银行转型金融标准技术路径之一，权重设为0.6反映其行业特定重要性。</t>
  </si>
  <si>
    <t>高端产品布局+质量奖</t>
  </si>
  <si>
    <t>人民银行转型金融标准技术路径之一，权重设为0.7反映其行业特定重要性。</t>
  </si>
  <si>
    <t>人民银行转型金融标准技术路径之一，权重设为0.8反映其行业特定重要性。</t>
  </si>
  <si>
    <t>钢铁行业转型金融评价指标体系 —— 权重调整机制</t>
  </si>
  <si>
    <t>一、权重调整流程</t>
  </si>
  <si>
    <t>本评价体系的最终权重，是通过“数据分析 + 统一调整 + 专家修正”三步逐步确定的，具体过程如下：
第一步：根据实际数据表现进行初步调整
在专家给出的初始权重基础上，引入试评分结果，对每个指标进行动态修正。主要考虑两个因素：一是信息披露情况，二是指标是否能有效拉开企业差距。
简单来说，披露充分、区分度高的指标会适当提高权重；披露较少或区分度不明显的指标则会被下调。这样可以让评价体系既有数据基础，也能真正区分企业表现。
同时，对于“转型规划”和“其他战略”这类存在替代关系的指标组合，不参与这一轮调整，以避免核心指标被技术性规则误伤。
第二步：统一各维度权重比例
为了保证整体结构稳定，将三大维度（目标与战略、实施保障、转型表现）的权重固定在25%、20%、55%。在此基础上，对维度内部的指标权重进行同比例调整，使其加总符合设定比例。
调整完成后，再通过统一的数值处理方法，将所有权重保留到1位小数，并消除因四舍五入产生的误差，确保结果严谨一致。
第三步：结合行业重点进行专家修正
前两步主要基于数据，但纯数据方法可能会低估一些“当前披露不充分、但非常重要”的指标。因此，在最后一步引入专家判断进行微调。
例如，对于数字化赋能、废钢回收率等关键转型指标，虽然当前企业披露不多或差异不大，但从行业转型角度看非常重要，因此对其权重进行了适当上调和锁定。
这样可以确保评价结果不仅反映当前情况，也能体现政策导向和行业转型重点。</t>
  </si>
  <si>
    <t>二、披露率调整规则</t>
  </si>
  <si>
    <t>披露率区间</t>
  </si>
  <si>
    <t>调整方向</t>
  </si>
  <si>
    <t>调整系数</t>
  </si>
  <si>
    <t>调整后权重公式</t>
  </si>
  <si>
    <t>调整理由</t>
  </si>
  <si>
    <t>披露率 ≥ 80%</t>
  </si>
  <si>
    <t>维持不变</t>
  </si>
  <si>
    <t>1.0</t>
  </si>
  <si>
    <t>调整后权重 = 初始权重 × 1.2</t>
  </si>
  <si>
    <t>数据充分，权重设定合理，无需调整</t>
  </si>
  <si>
    <t>50% ≤ 披露率 &lt; 80%</t>
  </si>
  <si>
    <t>调整后权重 = 初始权重 × 1.0</t>
  </si>
  <si>
    <t>数据尚可，权重可信度可接受</t>
  </si>
  <si>
    <t>20% ≤ 披露率 &lt; 50%</t>
  </si>
  <si>
    <t>适当调低</t>
  </si>
  <si>
    <t>0.7</t>
  </si>
  <si>
    <t>调整后权重 = 初始权重 × 0.7</t>
  </si>
  <si>
    <t>数据不足，区分度受限，需降低权重以避免引入过多噪声。说明：权重调低后被释放的权重空间不分配给其他指标，而是缩减至总分中。</t>
  </si>
  <si>
    <t>10% ≤ 披露率 &lt; 20%</t>
  </si>
  <si>
    <t>显著调低</t>
  </si>
  <si>
    <t>0.5</t>
  </si>
  <si>
    <t>调整后权重 = 初始权重 × 0.5</t>
  </si>
  <si>
    <t>数据严重不足，该指标评分结果对总分贡献的可信度低。</t>
  </si>
  <si>
    <t>披露率 &lt; 10%</t>
  </si>
  <si>
    <t>暂停计分</t>
  </si>
  <si>
    <t>0</t>
  </si>
  <si>
    <t>调整后权重 = 0（该指标不计入总分）</t>
  </si>
  <si>
    <t>数据极度匮乏，强行赋分会严重扭曲评价结果。该指标暂停计分，待未来数据改善后恢复。</t>
  </si>
  <si>
    <t>三、边际区分度分析</t>
  </si>
  <si>
    <t>边际区分度 = 某指标得分的标准差 ÷ 该指标得分的均值
该指标用于衡量各企业在某一指标上的得分差异程度。边际区分度高说明该指标能有效区分不同企业的转型表现；边际区分度低则说明该指标对所有企业的区分效果有限。
校验规则：
· 若某指标边际区分度 &gt; 0.5，说明该指标区分效果良好，权重*1.2；
· 若 0.3 &lt; 边际区分度 ≤ 0.5，说明该指标有一定区分效果，维持权重不变；（*1.0）
· 若0.1&lt;边际区分度 ≤ 0.3，说明该指标在区分企业差异上表现一般，建议调低权重。（*0.7）·若边际区分度≤ 0.1，说明该指标几乎无法区分企业差异，建议调低权重（*0.5）或删除指标</t>
  </si>
  <si>
    <t>四、各指标披露率与权重调整记录（待试评分完成后填写）</t>
  </si>
  <si>
    <t>初始权重</t>
  </si>
  <si>
    <t>披露企业数</t>
  </si>
  <si>
    <t>总企业数</t>
  </si>
  <si>
    <t>披露率</t>
  </si>
  <si>
    <t>边际区分度</t>
  </si>
  <si>
    <t>调整后权重Step1</t>
  </si>
  <si>
    <t>维度归一化后Step2</t>
  </si>
  <si>
    <t>保留一位Step3</t>
  </si>
  <si>
    <t>最终确认权重</t>
  </si>
  <si>
    <t>在本评价体系中，“转型规划”为核心评价项，“其他战略”作为未披露转型规划时的补充项，两者构成一个嵌套的评价模块。为避免在权重调整过程中出现逻辑失真（例如核心指标因企业披露内容趋同而被下调权重，而补充指标反而维持原有权重），本模型将二者作为一个整体进行处理，而不单独调整其相对权重。考虑到该模块整体披露率已达到100%，且“转型规划”属于国内外转型金融框架中的核心要求，本模型对该指标组不再基于披露率或区分度进行权重折减，而是直接采用初始权重参与同维度下的归一化分配。这样可以确保评价结果始终体现“规划先行”的政策导向，避免关键指标在技术性调整中被弱化。</t>
  </si>
  <si>
    <t>五、权重调整说明（待试评分完成后填写）</t>
  </si>
  <si>
    <t>【填写说明】
在完成试评分后，请：
1. 统计每个指标的实际披露率（披露企业数÷总企业数），填入上方表格；
2. 计算每个指标得分的边际区分度（标准差÷均值），填入上方表格；
3. 根据第二部分的披露率调整规则，确定调整系数；
4. 综合披露率和边际区分度，确定最终调整后权重，填入上方表格；
5. 在此区域填写调整的详细理由和依据，形成"权重调整说明"。</t>
  </si>
  <si>
    <t>权重调整说明</t>
  </si>
  <si>
    <t>披露率高（80%），区分度也较好（0.586），能够体现企业的战略前瞻性，因此在数据模型中获得加权提升，最终由0.7上调至0.9。</t>
  </si>
  <si>
    <t>披露率很高（90%），但区分度一般（0.47），属于基础合规性目标，因此维持稳定权重，最终为0.7。</t>
  </si>
  <si>
    <t>虽然披露率达到100%，但区分度很低（0.185），已成为行业普遍做法，难以拉开差距，因此下调至0.1。</t>
  </si>
  <si>
    <t>作为核心指标，与“其他战略”构成替代关系。为避免核心指标被技术性降权，该指标不参与区分度调整，按初始逻辑保留并归一化后确定为0.6。</t>
  </si>
  <si>
    <t>作为“转型规划”的替代项，同样不参与数据驱动降权，保持原有权重结构，最终为0.2。</t>
  </si>
  <si>
    <t>行业已基本全覆盖（100%披露），但区分度较低（0.18），属于基础管理要求，因此适当降权至0.5。</t>
  </si>
  <si>
    <t>披露率（95%）和区分度（0.551）均表现良好，能够有效区分企业管理能力，因此权重由0.7提升至0.8。</t>
  </si>
  <si>
    <t>区分度较好（&gt;0.5），具备一定评价意义，按模型正常调整后小幅提升至0.6。</t>
  </si>
  <si>
    <t>区分度虽高，但披露率极低（15%），数据基础不足，因此按规则处理，仍然为0.1低权重。</t>
  </si>
  <si>
    <t>核心信息披露指标，披露情况良好且具备区分度，维持0.7权重。</t>
  </si>
  <si>
    <t>核心绩效指标，区分度极高（1.02），能够直接反映减排效果，因此保持0.7高权重。</t>
  </si>
  <si>
    <t>与物理强度类似，区分度高（0.994），用于衡量低碳效率，权重维持在0.7。</t>
  </si>
  <si>
    <t>披露和区分度均较好（1.242），是重要减碳路径指标，最终权重为0.2。</t>
  </si>
  <si>
    <t>区分度较高（1.123），能够反映企业减碳路径选择，权重维持0.2。</t>
  </si>
  <si>
    <t>披露率高（95%），区分度适中，作为辅助环境指标，权重为0.2。</t>
  </si>
  <si>
    <t>披露率高但区分度较低（0.265），且对当前转型影响相对有限，权重控制在0.1。</t>
  </si>
  <si>
    <t>行业普遍披露（100%），区分度不高，属于基础社会责任指标，权重为0.1。</t>
  </si>
  <si>
    <t>区分度较好（0.724），且体现转型过程中的社会责任，因此上调至0.4。</t>
  </si>
  <si>
    <t>披露率高且有一定区分度（0.553），作为技术支撑指标，权重维持0.2。</t>
  </si>
  <si>
    <t>区分度高但披露率较低（35%），数据支撑不足，因此降权至0.1。</t>
  </si>
  <si>
    <t>具备一定区分度，但多为常规环保投入，对深度转型支撑有限，权重为0.1。</t>
  </si>
  <si>
    <t>行业关键措施，区分度适中（0.443），经专家判断维持在0.3。</t>
  </si>
  <si>
    <t>数据模型原本给出较高权重，但为和其他减排技术路径保持一致，权重调至0.3。</t>
  </si>
  <si>
    <t>代表关键低碳技术路径，具有较强战略意义，权重稳定在0.3。</t>
  </si>
  <si>
    <t>数据模型因区分度较低（0.228）下调权重，但考虑其为转型基础能力，经专家上调至0.3。</t>
  </si>
  <si>
    <t>数据区分度有限，但对行业长期转型至关重要，经专家调整上调至0.3。</t>
  </si>
  <si>
    <t>披露率较低（35%）导致模型降权，但其对行业减碳意义重大，经专家上调并锁定为0.3。</t>
  </si>
  <si>
    <t>定量指标统一打分范式 —— P10-P90分位归一化方法</t>
  </si>
  <si>
    <t>【反馈回应】当前打分逻辑偏复杂，建议精简预处理步骤，形成统一范式。
【本表目的】将所有定量指标的赋分逻辑统一为"P10-P90分位归一化"范式，降低使用和解释成本。
【适用范围】仅适用于分值关系为"环比变化（30%）+ 当期横向位置（70%）"的定量连续指标。
【不适用的指标类型】定性指标（"相等"/"累加"赋分方式）不在本范式覆盖范围内，保持原赋分逻辑不变。</t>
  </si>
  <si>
    <t>一、统一打分范式说明</t>
  </si>
  <si>
    <t>所有定量连续指标采用统一的"P10-P90分位归一化"赋分方法，每个指标的总得分由两个维度加权计算：
总得分 = 环比变化得分（30%）+ 当期横向位置得分（70%）
两个维度均采用相同的归一化逻辑：在行业内所有企业数据中确定P10和P90分位值，
将企业实际值线性映射至[0, 10]分区间。</t>
  </si>
  <si>
    <t>二、正向指标归一化规则（数值越大越好）</t>
  </si>
  <si>
    <t>步骤1：计算指标值
    指标值 = 企业当期数据 ÷ 对应产量/营收等基准值
步骤2：确定行业分位区间
    对行业内所有企业的指标值排序，确定P10和P90分位值。
步骤3：线性归一化赋分
    · 当 指标值 ≤ P10 时，得分 = 0
    · 当 指标值 ≥ P90 时，得分 = 10
    · 当 P10 &lt; 指标值 &lt; P90 时，得分 = 10 ×（指标值 - P10）÷（P90 - P10）
步骤4：环比变化维度（30%）
    计算企业改进率 =（当期指标值 - 上年指标值）÷ 上年指标值
    对行业内改进率排序，确定P10和P90，按步骤3归一化，得到上年得分。
步骤5：当期横向位置维度（70%）
    直接对当期指标值按步骤3归一化，得到当期得分。
步骤6：计算总得分
    总得分 = 上年得分 × 30% + 当期得分 × 70%</t>
  </si>
  <si>
    <t>三、反向指标归一化规则（数值越小越好，如用水效率、碳排放强度）</t>
  </si>
  <si>
    <t>步骤1-2：同正向指标
步骤3：反向线性归一化赋分
    · 当 指标值 ≥ P90 时，得分 = 0（P90对应最差表现）
    · 当 指标值 ≤ P10 时，得分 = 10（P10对应最优表现）
    · 当 P10 &lt; 指标值 &lt; P90 时，得分 = 10 ×（P90 - 指标值）÷（P90 - P10）
步骤4-6：同正向指标（上年维度改进率计算时，改进率 =（上年值 - 当期值）÷ 上年值，改进率 &gt; 0 表示改善）</t>
  </si>
  <si>
    <t>四、适用本范式的定量指标清单</t>
  </si>
  <si>
    <t>指标方向</t>
  </si>
  <si>
    <t>计算公式</t>
  </si>
  <si>
    <t>上年</t>
  </si>
  <si>
    <t>反向（越低越好）</t>
  </si>
  <si>
    <t>碳排放总量 ÷ 粗钢产量（tCO2/吨钢）</t>
  </si>
  <si>
    <t>可持续发展报告</t>
  </si>
  <si>
    <t>碳排放总量 ÷ 营业收入（tCO2/万元）</t>
  </si>
  <si>
    <t>可再生能源占比（自发）</t>
  </si>
  <si>
    <t>正向（越高越好）</t>
  </si>
  <si>
    <t>自发可再生能源发电量 ÷ 总能源消耗量（%）</t>
  </si>
  <si>
    <t>外购绿电电量 ÷ 总能源消耗量（%）</t>
  </si>
  <si>
    <t>用水效率（吨钢耗新水量）</t>
  </si>
  <si>
    <t>新水消耗量 ÷ 粗钢产量（m3/吨钢）</t>
  </si>
  <si>
    <t>研发投入 ÷ 营业收入（%）</t>
  </si>
  <si>
    <t>可持续发展报告/年报</t>
  </si>
  <si>
    <t>节能技改投资 ÷ 营业收入（%）</t>
  </si>
  <si>
    <t>环保投入 ÷ 营业收入（%）</t>
  </si>
  <si>
    <t>废钢回收总量 ÷ 粗钢产量（%）</t>
  </si>
  <si>
    <t>（当期员工人数 − 上年员工人数）÷ 上年员工人数（%）</t>
  </si>
  <si>
    <t>年报/可持续发展报告</t>
  </si>
  <si>
    <t>五、不适用的定性/分档指标（保持原赋分逻辑不变）</t>
  </si>
  <si>
    <t>赋分方式</t>
  </si>
  <si>
    <t>不适用原因</t>
  </si>
  <si>
    <t>保持逻辑说明</t>
  </si>
  <si>
    <t>碳中和/碳达峰目标</t>
  </si>
  <si>
    <t>相等（基础分×范围系数）</t>
  </si>
  <si>
    <t>非连续数值指标，为分档赋分</t>
  </si>
  <si>
    <t>保持原逻辑：根据承诺年份和覆盖范围分层赋分</t>
  </si>
  <si>
    <t>相等（数量+质量）</t>
  </si>
  <si>
    <t>定性计数指标</t>
  </si>
  <si>
    <t>保持原逻辑：按目标类型数量和质量等级赋分</t>
  </si>
  <si>
    <t>转型规划/其他战略</t>
  </si>
  <si>
    <t>定性清单指标</t>
  </si>
  <si>
    <t>保持原逻辑：按规划要素覆盖度逐项累加赋分</t>
  </si>
  <si>
    <t>治理架构/风险管理体系</t>
  </si>
  <si>
    <t>保持原逻辑：按管理要素覆盖度逐项累加赋分</t>
  </si>
  <si>
    <t>气候风险和机遇/压力测试</t>
  </si>
  <si>
    <t>保持原逻辑：按识别和评估要素逐项累加赋分</t>
  </si>
  <si>
    <t>相等（披露完整度）</t>
  </si>
  <si>
    <t>定性分档指标</t>
  </si>
  <si>
    <t>保持原逻辑：按披露范围和完整性分档赋分</t>
  </si>
  <si>
    <t>生物多样性/员工培训</t>
  </si>
  <si>
    <t>保持原逻辑：按制度建设和行动措施逐项累加赋分</t>
  </si>
  <si>
    <t>系统能效提升/冶炼技术突破</t>
  </si>
  <si>
    <t>定性技术清单</t>
  </si>
  <si>
    <t>保持原逻辑：按技术应用情况分档赋分</t>
  </si>
  <si>
    <t>相等（是/否）</t>
  </si>
  <si>
    <t>定性二元指标</t>
  </si>
  <si>
    <t>保持原逻辑：按是否完成超低排放改造赋分</t>
  </si>
  <si>
    <t>保持原逻辑：按是否应用数字化手段赋分</t>
  </si>
  <si>
    <t>定性分类指标</t>
  </si>
  <si>
    <t>保持原逻辑：按高端产品应用领域逐项累加赋分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</si>
</sst>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6">
    <font>
      <sz val="11"/>
      <color theme="1"/>
      <name val="宋体"/>
      <charset val="134"/>
      <scheme val="minor"/>
    </font>
    <font>
      <b/>
      <sz val="14"/>
      <name val="微软雅黑"/>
      <charset val="134"/>
    </font>
    <font>
      <sz val="11"/>
      <color theme="1"/>
      <name val="微软雅黑"/>
      <charset val="134"/>
    </font>
    <font>
      <b/>
      <sz val="12"/>
      <name val="微软雅黑"/>
      <charset val="134"/>
    </font>
    <font>
      <b/>
      <sz val="11"/>
      <name val="微软雅黑"/>
      <charset val="134"/>
    </font>
    <font>
      <sz val="10"/>
      <name val="微软雅黑"/>
      <charset val="134"/>
    </font>
    <font>
      <sz val="11"/>
      <name val="微软雅黑"/>
      <charset val="134"/>
    </font>
    <font>
      <sz val="10"/>
      <color theme="1"/>
      <name val="微软雅黑"/>
      <charset val="134"/>
    </font>
    <font>
      <b/>
      <sz val="11"/>
      <color theme="1"/>
      <name val="微软雅黑"/>
      <charset val="134"/>
    </font>
    <font>
      <b/>
      <sz val="13"/>
      <color rgb="FFFFFFFF"/>
      <name val="微软雅黑"/>
      <charset val="134"/>
    </font>
    <font>
      <i/>
      <sz val="9"/>
      <color rgb="FF404040"/>
      <name val="微软雅黑"/>
      <charset val="134"/>
    </font>
    <font>
      <b/>
      <sz val="11"/>
      <color rgb="FF1F4E79"/>
      <name val="微软雅黑"/>
      <charset val="134"/>
    </font>
    <font>
      <b/>
      <sz val="10"/>
      <color rgb="FFFFFFFF"/>
      <name val="微软雅黑"/>
      <charset val="134"/>
    </font>
    <font>
      <b/>
      <sz val="10"/>
      <color rgb="FF000000"/>
      <name val="微软雅黑"/>
      <charset val="134"/>
    </font>
    <font>
      <sz val="10"/>
      <color rgb="FF000000"/>
      <name val="微软雅黑"/>
      <charset val="134"/>
    </font>
    <font>
      <b/>
      <sz val="10"/>
      <name val="微软雅黑"/>
      <charset val="134"/>
    </font>
    <font>
      <b/>
      <sz val="12"/>
      <color theme="1"/>
      <name val="仿宋_GB2312"/>
      <charset val="134"/>
    </font>
    <font>
      <sz val="11"/>
      <color theme="1"/>
      <name val="仿宋_GB2312"/>
      <charset val="134"/>
    </font>
    <font>
      <b/>
      <sz val="11"/>
      <color theme="1"/>
      <name val="仿宋_GB2312"/>
      <charset val="134"/>
    </font>
    <font>
      <sz val="11"/>
      <color rgb="FFFF0000"/>
      <name val="仿宋_GB2312"/>
      <charset val="134"/>
    </font>
    <font>
      <sz val="11"/>
      <color rgb="FF0070C0"/>
      <name val="仿宋_GB2312"/>
      <charset val="134"/>
    </font>
    <font>
      <sz val="11"/>
      <name val="仿宋_GB2312"/>
      <charset val="134"/>
    </font>
    <font>
      <sz val="11"/>
      <color theme="1"/>
      <name val="宋体"/>
      <charset val="134"/>
    </font>
    <font>
      <sz val="12"/>
      <color theme="1"/>
      <name val="仿宋_GB2312"/>
      <charset val="134"/>
    </font>
    <font>
      <b/>
      <sz val="12"/>
      <color theme="1"/>
      <name val="仿宋"/>
      <charset val="134"/>
    </font>
    <font>
      <sz val="12"/>
      <color theme="1"/>
      <name val="仿宋"/>
      <charset val="134"/>
    </font>
    <font>
      <sz val="12"/>
      <color rgb="FFFF0000"/>
      <name val="仿宋"/>
      <charset val="134"/>
    </font>
    <font>
      <sz val="12"/>
      <name val="仿宋"/>
      <charset val="134"/>
    </font>
    <font>
      <sz val="12"/>
      <color theme="1"/>
      <name val="宋体-简"/>
      <charset val="134"/>
    </font>
    <font>
      <sz val="12"/>
      <name val="宋体-简"/>
      <charset val="134"/>
    </font>
    <font>
      <sz val="11"/>
      <color rgb="FFC00000"/>
      <name val="仿宋_GB2312"/>
      <charset val="134"/>
    </font>
    <font>
      <i/>
      <sz val="11"/>
      <color rgb="FFFF0000"/>
      <name val="仿宋_GB2312"/>
      <charset val="134"/>
    </font>
    <font>
      <i/>
      <sz val="11"/>
      <color theme="1"/>
      <name val="仿宋_GB2312"/>
      <charset val="134"/>
    </font>
    <font>
      <sz val="11"/>
      <color theme="1"/>
      <name val="冬青黑体简体中文"/>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imes New Roman"/>
      <charset val="134"/>
    </font>
    <font>
      <sz val="11"/>
      <color theme="1"/>
      <name val="宋体-简"/>
      <charset val="134"/>
    </font>
    <font>
      <sz val="10"/>
      <name val="宋体"/>
      <charset val="134"/>
    </font>
  </fonts>
  <fills count="57">
    <fill>
      <patternFill patternType="none"/>
    </fill>
    <fill>
      <patternFill patternType="gray125"/>
    </fill>
    <fill>
      <patternFill patternType="solid">
        <fgColor rgb="FFD9E1F2"/>
        <bgColor rgb="FFD9E1F2"/>
      </patternFill>
    </fill>
    <fill>
      <patternFill patternType="solid">
        <fgColor theme="4" tint="0.6"/>
        <bgColor rgb="FFD9E1F2"/>
      </patternFill>
    </fill>
    <fill>
      <patternFill patternType="solid">
        <fgColor rgb="FF1F4E79"/>
        <bgColor rgb="FF1F4E79"/>
      </patternFill>
    </fill>
    <fill>
      <patternFill patternType="solid">
        <fgColor rgb="FFF5F5F5"/>
        <bgColor rgb="FFF5F5F5"/>
      </patternFill>
    </fill>
    <fill>
      <patternFill patternType="solid">
        <fgColor rgb="FFDEEAF1"/>
        <bgColor rgb="FFDEEAF1"/>
      </patternFill>
    </fill>
    <fill>
      <patternFill patternType="solid">
        <fgColor rgb="FFFCE4D6"/>
        <bgColor rgb="FFFCE4D6"/>
      </patternFill>
    </fill>
    <fill>
      <patternFill patternType="solid">
        <fgColor rgb="FFF8CBAD"/>
        <bgColor rgb="FFF8CBAD"/>
      </patternFill>
    </fill>
    <fill>
      <patternFill patternType="solid">
        <fgColor rgb="FFE2EFDA"/>
        <bgColor rgb="FFE2EFDA"/>
      </patternFill>
    </fill>
    <fill>
      <patternFill patternType="solid">
        <fgColor rgb="FFDDEBF7"/>
        <bgColor rgb="FFDDEBF7"/>
      </patternFill>
    </fill>
    <fill>
      <patternFill patternType="solid">
        <fgColor rgb="FFC6EFCE"/>
        <bgColor rgb="FFC6EFCE"/>
      </patternFill>
    </fill>
    <fill>
      <patternFill patternType="solid">
        <fgColor rgb="FFF2F2F2"/>
        <bgColor rgb="FFF2F2F2"/>
      </patternFill>
    </fill>
    <fill>
      <patternFill patternType="solid">
        <fgColor rgb="FF92D050"/>
        <bgColor indexed="64"/>
      </patternFill>
    </fill>
    <fill>
      <patternFill patternType="solid">
        <fgColor theme="7" tint="0.799920651875362"/>
        <bgColor indexed="64"/>
      </patternFill>
    </fill>
    <fill>
      <patternFill patternType="solid">
        <fgColor theme="4" tint="0.799920651875362"/>
        <bgColor indexed="64"/>
      </patternFill>
    </fill>
    <fill>
      <patternFill patternType="solid">
        <fgColor theme="9" tint="0.799920651875362"/>
        <bgColor indexed="64"/>
      </patternFill>
    </fill>
    <fill>
      <patternFill patternType="solid">
        <fgColor rgb="FFFFFF00"/>
        <bgColor indexed="64"/>
      </patternFill>
    </fill>
    <fill>
      <patternFill patternType="solid">
        <fgColor theme="9" tint="0.799981688894314"/>
        <bgColor indexed="64"/>
      </patternFill>
    </fill>
    <fill>
      <patternFill patternType="solid">
        <fgColor rgb="FFFF0000"/>
        <bgColor indexed="64"/>
      </patternFill>
    </fill>
    <fill>
      <patternFill patternType="solid">
        <fgColor theme="0"/>
        <bgColor indexed="64"/>
      </patternFill>
    </fill>
    <fill>
      <patternFill patternType="solid">
        <fgColor theme="7" tint="0.8"/>
        <bgColor indexed="64"/>
      </patternFill>
    </fill>
    <fill>
      <patternFill patternType="solid">
        <fgColor theme="4" tint="0.8"/>
        <bgColor indexed="64"/>
      </patternFill>
    </fill>
    <fill>
      <patternFill patternType="solid">
        <fgColor theme="9" tint="0.8"/>
        <bgColor indexed="64"/>
      </patternFill>
    </fill>
    <fill>
      <patternFill patternType="solid">
        <fgColor theme="6" tint="0.599993896298105"/>
        <bgColor indexed="64"/>
      </patternFill>
    </fill>
    <fill>
      <patternFill patternType="solid">
        <fgColor theme="8" tint="0.8"/>
        <bgColor indexed="64"/>
      </patternFill>
    </fill>
    <fill>
      <patternFill patternType="solid">
        <fgColor theme="9" tint="0.399914548173467"/>
        <bgColor indexed="64"/>
      </patternFill>
    </fill>
    <fill>
      <patternFill patternType="solid">
        <fgColor theme="6" tint="0.7999206518753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4" fillId="0" borderId="0">
      <alignment vertical="center"/>
    </xf>
    <xf numFmtId="0" fontId="35" fillId="0" borderId="0">
      <alignment vertical="center"/>
    </xf>
    <xf numFmtId="0" fontId="0" fillId="28" borderId="13">
      <alignment vertical="center"/>
    </xf>
    <xf numFmtId="0" fontId="36" fillId="0" borderId="0">
      <alignment vertical="center"/>
    </xf>
    <xf numFmtId="0" fontId="37" fillId="0" borderId="0">
      <alignment vertical="center"/>
    </xf>
    <xf numFmtId="0" fontId="38" fillId="0" borderId="0">
      <alignment vertical="center"/>
    </xf>
    <xf numFmtId="0" fontId="39" fillId="0" borderId="14">
      <alignment vertical="center"/>
    </xf>
    <xf numFmtId="0" fontId="40" fillId="0" borderId="14">
      <alignment vertical="center"/>
    </xf>
    <xf numFmtId="0" fontId="41" fillId="0" borderId="15">
      <alignment vertical="center"/>
    </xf>
    <xf numFmtId="0" fontId="41" fillId="0" borderId="0">
      <alignment vertical="center"/>
    </xf>
    <xf numFmtId="0" fontId="42" fillId="29" borderId="16">
      <alignment vertical="center"/>
    </xf>
    <xf numFmtId="0" fontId="43" fillId="30" borderId="17">
      <alignment vertical="center"/>
    </xf>
    <xf numFmtId="0" fontId="44" fillId="30" borderId="16">
      <alignment vertical="center"/>
    </xf>
    <xf numFmtId="0" fontId="45" fillId="31" borderId="18">
      <alignment vertical="center"/>
    </xf>
    <xf numFmtId="0" fontId="46" fillId="0" borderId="19">
      <alignment vertical="center"/>
    </xf>
    <xf numFmtId="0" fontId="47" fillId="0" borderId="20">
      <alignment vertical="center"/>
    </xf>
    <xf numFmtId="0" fontId="48" fillId="32" borderId="0">
      <alignment vertical="center"/>
    </xf>
    <xf numFmtId="0" fontId="49" fillId="33" borderId="0">
      <alignment vertical="center"/>
    </xf>
    <xf numFmtId="0" fontId="50" fillId="34" borderId="0">
      <alignment vertical="center"/>
    </xf>
    <xf numFmtId="0" fontId="51" fillId="35" borderId="0">
      <alignment vertical="center"/>
    </xf>
    <xf numFmtId="0" fontId="52" fillId="36" borderId="0">
      <alignment vertical="center"/>
    </xf>
    <xf numFmtId="0" fontId="52" fillId="37" borderId="0">
      <alignment vertical="center"/>
    </xf>
    <xf numFmtId="0" fontId="51" fillId="38" borderId="0">
      <alignment vertical="center"/>
    </xf>
    <xf numFmtId="0" fontId="51" fillId="39" borderId="0">
      <alignment vertical="center"/>
    </xf>
    <xf numFmtId="0" fontId="52" fillId="40" borderId="0">
      <alignment vertical="center"/>
    </xf>
    <xf numFmtId="0" fontId="52" fillId="41" borderId="0">
      <alignment vertical="center"/>
    </xf>
    <xf numFmtId="0" fontId="51" fillId="42" borderId="0">
      <alignment vertical="center"/>
    </xf>
    <xf numFmtId="0" fontId="51" fillId="43" borderId="0">
      <alignment vertical="center"/>
    </xf>
    <xf numFmtId="0" fontId="52" fillId="44" borderId="0">
      <alignment vertical="center"/>
    </xf>
    <xf numFmtId="0" fontId="52" fillId="24" borderId="0">
      <alignment vertical="center"/>
    </xf>
    <xf numFmtId="0" fontId="51" fillId="45" borderId="0">
      <alignment vertical="center"/>
    </xf>
    <xf numFmtId="0" fontId="51" fillId="46" borderId="0">
      <alignment vertical="center"/>
    </xf>
    <xf numFmtId="0" fontId="52" fillId="47" borderId="0">
      <alignment vertical="center"/>
    </xf>
    <xf numFmtId="0" fontId="52" fillId="48" borderId="0">
      <alignment vertical="center"/>
    </xf>
    <xf numFmtId="0" fontId="51" fillId="49" borderId="0">
      <alignment vertical="center"/>
    </xf>
    <xf numFmtId="0" fontId="51" fillId="50" borderId="0">
      <alignment vertical="center"/>
    </xf>
    <xf numFmtId="0" fontId="52" fillId="51" borderId="0">
      <alignment vertical="center"/>
    </xf>
    <xf numFmtId="0" fontId="52" fillId="52" borderId="0">
      <alignment vertical="center"/>
    </xf>
    <xf numFmtId="0" fontId="51" fillId="53" borderId="0">
      <alignment vertical="center"/>
    </xf>
    <xf numFmtId="0" fontId="51" fillId="54" borderId="0">
      <alignment vertical="center"/>
    </xf>
    <xf numFmtId="0" fontId="52" fillId="18" borderId="0">
      <alignment vertical="center"/>
    </xf>
    <xf numFmtId="0" fontId="52" fillId="55" borderId="0">
      <alignment vertical="center"/>
    </xf>
    <xf numFmtId="0" fontId="51" fillId="56" borderId="0">
      <alignment vertical="center"/>
    </xf>
  </cellStyleXfs>
  <cellXfs count="201">
    <xf numFmtId="0" fontId="0" fillId="0" borderId="0" xfId="0" applyAlignment="1">
      <alignment vertical="center"/>
    </xf>
    <xf numFmtId="0" fontId="0" fillId="0" borderId="0" xfId="0" applyAlignment="1"/>
    <xf numFmtId="0" fontId="1" fillId="0" borderId="0" xfId="0" applyFont="1" applyAlignment="1"/>
    <xf numFmtId="0" fontId="2" fillId="0" borderId="0" xfId="0" applyFont="1" applyAlignment="1">
      <alignment vertical="top" wrapText="1"/>
    </xf>
    <xf numFmtId="0" fontId="2" fillId="0" borderId="0" xfId="0" applyFont="1" applyAlignment="1"/>
    <xf numFmtId="0" fontId="3" fillId="0" borderId="0" xfId="0" applyFont="1" applyAlignment="1"/>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2" fillId="0" borderId="0" xfId="0" applyFont="1" applyAlignment="1">
      <alignment vertical="center"/>
    </xf>
    <xf numFmtId="0" fontId="3" fillId="0" borderId="0" xfId="0" applyFont="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6" fillId="0" borderId="1" xfId="0" applyFont="1" applyBorder="1" applyAlignment="1">
      <alignment vertical="center" wrapText="1"/>
    </xf>
    <xf numFmtId="0" fontId="2" fillId="0" borderId="1" xfId="0" applyFont="1" applyBorder="1" applyAlignment="1">
      <alignment vertical="center"/>
    </xf>
    <xf numFmtId="0" fontId="0" fillId="0" borderId="2" xfId="0" applyBorder="1" applyAlignment="1"/>
    <xf numFmtId="0" fontId="0" fillId="0" borderId="3" xfId="0" applyBorder="1" applyAlignment="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left" vertical="center" wrapText="1"/>
    </xf>
    <xf numFmtId="0" fontId="0" fillId="0" borderId="6" xfId="0" applyBorder="1" applyAlignment="1"/>
    <xf numFmtId="10" fontId="2" fillId="0" borderId="1" xfId="0" applyNumberFormat="1" applyFont="1" applyBorder="1" applyAlignment="1">
      <alignment vertical="center"/>
    </xf>
    <xf numFmtId="0" fontId="0" fillId="0" borderId="7" xfId="0" applyBorder="1" applyAlignment="1"/>
    <xf numFmtId="0" fontId="2" fillId="0" borderId="0" xfId="0" applyFont="1" applyAlignment="1">
      <alignment vertical="center" wrapText="1"/>
    </xf>
    <xf numFmtId="0" fontId="2" fillId="0" borderId="0" xfId="0" applyFont="1" applyAlignment="1">
      <alignment horizontal="left" vertical="center" wrapText="1"/>
    </xf>
    <xf numFmtId="0" fontId="2" fillId="0" borderId="8" xfId="0" applyFont="1" applyBorder="1" applyAlignment="1">
      <alignment vertical="center"/>
    </xf>
    <xf numFmtId="0" fontId="2" fillId="0" borderId="3" xfId="0" applyFont="1" applyBorder="1" applyAlignment="1">
      <alignment vertical="center"/>
    </xf>
    <xf numFmtId="0" fontId="2" fillId="0" borderId="7" xfId="0" applyFont="1" applyBorder="1" applyAlignment="1">
      <alignment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0" fillId="0" borderId="0" xfId="0" applyAlignment="1">
      <alignment vertical="top"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9" fillId="4" borderId="0" xfId="0" applyFont="1" applyFill="1" applyAlignment="1">
      <alignment horizontal="center" vertical="center"/>
    </xf>
    <xf numFmtId="0" fontId="10" fillId="5" borderId="0" xfId="0" applyFont="1" applyFill="1" applyAlignment="1">
      <alignment horizontal="left" vertical="center" wrapText="1"/>
    </xf>
    <xf numFmtId="0" fontId="11" fillId="6" borderId="0" xfId="0" applyFont="1" applyFill="1" applyAlignment="1">
      <alignment horizontal="left" vertical="center"/>
    </xf>
    <xf numFmtId="0" fontId="12" fillId="4" borderId="9" xfId="0" applyFont="1" applyFill="1" applyBorder="1" applyAlignment="1">
      <alignment horizontal="center" vertical="center" wrapText="1"/>
    </xf>
    <xf numFmtId="0" fontId="13" fillId="7" borderId="9" xfId="0" applyFont="1" applyFill="1" applyBorder="1" applyAlignment="1">
      <alignment horizontal="center" vertical="center" wrapText="1"/>
    </xf>
    <xf numFmtId="0" fontId="14" fillId="7" borderId="9" xfId="0" applyFont="1" applyFill="1" applyBorder="1" applyAlignment="1">
      <alignment horizontal="left" vertical="center" wrapText="1"/>
    </xf>
    <xf numFmtId="0" fontId="13" fillId="8" borderId="9" xfId="0" applyFont="1" applyFill="1" applyBorder="1" applyAlignment="1">
      <alignment horizontal="center" vertical="center" wrapText="1"/>
    </xf>
    <xf numFmtId="0" fontId="14" fillId="8" borderId="9" xfId="0" applyFont="1" applyFill="1" applyBorder="1" applyAlignment="1">
      <alignment horizontal="left" vertical="center" wrapText="1"/>
    </xf>
    <xf numFmtId="0" fontId="13" fillId="9" borderId="9" xfId="0" applyFont="1" applyFill="1" applyBorder="1" applyAlignment="1">
      <alignment horizontal="center" vertical="center" wrapText="1"/>
    </xf>
    <xf numFmtId="0" fontId="14" fillId="9" borderId="9" xfId="0" applyFont="1" applyFill="1" applyBorder="1" applyAlignment="1">
      <alignment horizontal="left" vertical="center" wrapText="1"/>
    </xf>
    <xf numFmtId="0" fontId="13" fillId="10" borderId="9" xfId="0" applyFont="1" applyFill="1" applyBorder="1" applyAlignment="1">
      <alignment horizontal="center" vertical="center" wrapText="1"/>
    </xf>
    <xf numFmtId="0" fontId="14" fillId="10" borderId="9" xfId="0" applyFont="1" applyFill="1" applyBorder="1" applyAlignment="1">
      <alignment horizontal="left" vertical="center" wrapText="1"/>
    </xf>
    <xf numFmtId="0" fontId="13" fillId="0" borderId="0" xfId="0" applyFont="1" applyAlignment="1">
      <alignment horizontal="center" vertical="center" wrapText="1"/>
    </xf>
    <xf numFmtId="0" fontId="14" fillId="0" borderId="0" xfId="0" applyFont="1" applyAlignment="1">
      <alignment horizontal="left" vertical="center" wrapText="1"/>
    </xf>
    <xf numFmtId="0" fontId="14" fillId="7" borderId="9" xfId="0" applyFont="1" applyFill="1" applyBorder="1" applyAlignment="1">
      <alignment horizontal="center" vertical="center" wrapText="1"/>
    </xf>
    <xf numFmtId="0" fontId="0" fillId="0" borderId="10" xfId="0" applyBorder="1" applyAlignment="1"/>
    <xf numFmtId="0" fontId="14" fillId="10" borderId="9" xfId="0" applyFont="1" applyFill="1" applyBorder="1" applyAlignment="1">
      <alignment horizontal="center" vertical="center" wrapText="1"/>
    </xf>
    <xf numFmtId="0" fontId="0" fillId="0" borderId="11" xfId="0" applyBorder="1" applyAlignment="1"/>
    <xf numFmtId="0" fontId="14" fillId="8" borderId="9" xfId="0" applyFont="1" applyFill="1" applyBorder="1" applyAlignment="1">
      <alignment horizontal="center" vertical="center" wrapText="1"/>
    </xf>
    <xf numFmtId="0" fontId="14" fillId="9" borderId="9" xfId="0" applyFont="1" applyFill="1" applyBorder="1" applyAlignment="1">
      <alignment horizontal="center" vertical="center" wrapText="1"/>
    </xf>
    <xf numFmtId="0" fontId="14" fillId="11" borderId="9" xfId="0" applyFont="1" applyFill="1" applyBorder="1" applyAlignment="1">
      <alignment horizontal="center" vertical="center" wrapText="1"/>
    </xf>
    <xf numFmtId="0" fontId="14" fillId="11" borderId="9" xfId="0" applyFont="1" applyFill="1" applyBorder="1" applyAlignment="1">
      <alignment horizontal="left" vertical="center" wrapText="1"/>
    </xf>
    <xf numFmtId="0" fontId="13" fillId="11" borderId="9" xfId="0" applyFont="1" applyFill="1" applyBorder="1" applyAlignment="1">
      <alignment horizontal="center" vertical="center" wrapText="1"/>
    </xf>
    <xf numFmtId="0" fontId="15" fillId="8" borderId="9" xfId="0" applyFont="1" applyFill="1" applyBorder="1" applyAlignment="1">
      <alignment horizontal="center" vertical="center"/>
    </xf>
    <xf numFmtId="0" fontId="12" fillId="0" borderId="0" xfId="0" applyFont="1" applyAlignment="1">
      <alignment horizontal="center" vertical="center" wrapText="1"/>
    </xf>
    <xf numFmtId="0" fontId="5" fillId="8" borderId="9" xfId="0" applyFont="1" applyFill="1" applyBorder="1" applyAlignment="1">
      <alignment horizontal="left" vertical="center"/>
    </xf>
    <xf numFmtId="0" fontId="14" fillId="12" borderId="9" xfId="0" applyFont="1" applyFill="1" applyBorder="1" applyAlignment="1">
      <alignment horizontal="left" vertical="center" wrapText="1"/>
    </xf>
    <xf numFmtId="0" fontId="16" fillId="0" borderId="0" xfId="0" applyFont="1" applyAlignment="1">
      <alignment horizontal="center" vertical="center"/>
    </xf>
    <xf numFmtId="0" fontId="17"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horizontal="left" vertical="center"/>
    </xf>
    <xf numFmtId="0" fontId="16" fillId="13" borderId="1" xfId="0" applyFont="1" applyFill="1" applyBorder="1" applyAlignment="1">
      <alignment horizontal="center" vertical="center"/>
    </xf>
    <xf numFmtId="0" fontId="16" fillId="0" borderId="1" xfId="0" applyFont="1" applyBorder="1" applyAlignment="1">
      <alignment horizontal="center" vertical="center" wrapText="1"/>
    </xf>
    <xf numFmtId="0" fontId="18" fillId="14" borderId="1"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17" fillId="14" borderId="1" xfId="0" applyFont="1" applyFill="1" applyBorder="1" applyAlignment="1">
      <alignment horizontal="left" vertical="center" wrapText="1"/>
    </xf>
    <xf numFmtId="0" fontId="18" fillId="15" borderId="1" xfId="0" applyFont="1" applyFill="1" applyBorder="1" applyAlignment="1">
      <alignment horizontal="center" vertical="center" wrapText="1"/>
    </xf>
    <xf numFmtId="0" fontId="17" fillId="15" borderId="1" xfId="0" applyFont="1" applyFill="1" applyBorder="1" applyAlignment="1">
      <alignment horizontal="center" vertical="center" wrapText="1"/>
    </xf>
    <xf numFmtId="0" fontId="17" fillId="15" borderId="1" xfId="0" applyFont="1" applyFill="1" applyBorder="1" applyAlignment="1">
      <alignment horizontal="left" vertical="center" wrapText="1"/>
    </xf>
    <xf numFmtId="0" fontId="18" fillId="16" borderId="3" xfId="0" applyFont="1" applyFill="1" applyBorder="1" applyAlignment="1">
      <alignment horizontal="center" vertical="center" wrapText="1"/>
    </xf>
    <xf numFmtId="0" fontId="17" fillId="16" borderId="3" xfId="0" applyFont="1" applyFill="1" applyBorder="1" applyAlignment="1">
      <alignment horizontal="center" vertical="center"/>
    </xf>
    <xf numFmtId="0" fontId="17" fillId="16" borderId="1" xfId="0" applyFont="1" applyFill="1" applyBorder="1" applyAlignment="1">
      <alignment horizontal="center" vertical="center"/>
    </xf>
    <xf numFmtId="0" fontId="17" fillId="16" borderId="1" xfId="0" applyFont="1" applyFill="1" applyBorder="1" applyAlignment="1">
      <alignment horizontal="left" vertical="center" wrapText="1"/>
    </xf>
    <xf numFmtId="0" fontId="19" fillId="14" borderId="1" xfId="0" applyFont="1" applyFill="1" applyBorder="1" applyAlignment="1">
      <alignment horizontal="left" vertical="center" wrapText="1"/>
    </xf>
    <xf numFmtId="0" fontId="20" fillId="14" borderId="1" xfId="0" applyFont="1" applyFill="1" applyBorder="1" applyAlignment="1">
      <alignment horizontal="left" vertical="center" wrapText="1"/>
    </xf>
    <xf numFmtId="0" fontId="19" fillId="15" borderId="1" xfId="0" applyFont="1" applyFill="1" applyBorder="1" applyAlignment="1">
      <alignment horizontal="left" vertical="center" wrapText="1"/>
    </xf>
    <xf numFmtId="0" fontId="17" fillId="16" borderId="1" xfId="0" applyFont="1" applyFill="1" applyBorder="1" applyAlignment="1">
      <alignment horizontal="left" vertical="center"/>
    </xf>
    <xf numFmtId="0" fontId="17" fillId="16" borderId="1" xfId="0" applyFont="1" applyFill="1" applyBorder="1" applyAlignment="1">
      <alignment horizontal="center" vertical="center" wrapText="1"/>
    </xf>
    <xf numFmtId="0" fontId="19" fillId="16" borderId="1" xfId="0" applyFont="1" applyFill="1" applyBorder="1" applyAlignment="1">
      <alignment horizontal="left" vertical="center"/>
    </xf>
    <xf numFmtId="0" fontId="19" fillId="16" borderId="1" xfId="0" applyFont="1" applyFill="1" applyBorder="1" applyAlignment="1">
      <alignment horizontal="left" vertical="center" wrapText="1"/>
    </xf>
    <xf numFmtId="0" fontId="16" fillId="17" borderId="1" xfId="0" applyFont="1" applyFill="1" applyBorder="1" applyAlignment="1">
      <alignment horizontal="center" vertical="center"/>
    </xf>
    <xf numFmtId="49" fontId="16" fillId="0" borderId="1" xfId="0" applyNumberFormat="1" applyFont="1" applyBorder="1" applyAlignment="1">
      <alignment horizontal="center" vertical="center" wrapText="1"/>
    </xf>
    <xf numFmtId="0" fontId="16"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0" fontId="16" fillId="17" borderId="7" xfId="0" applyFont="1" applyFill="1" applyBorder="1" applyAlignment="1">
      <alignment horizontal="center" vertical="center"/>
    </xf>
    <xf numFmtId="0" fontId="17"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center" vertical="center"/>
    </xf>
    <xf numFmtId="0" fontId="0" fillId="0" borderId="1" xfId="0" applyBorder="1" applyAlignment="1"/>
    <xf numFmtId="0" fontId="17" fillId="0" borderId="3" xfId="0" applyFont="1" applyBorder="1" applyAlignment="1">
      <alignment horizontal="center" vertical="center" wrapText="1"/>
    </xf>
    <xf numFmtId="0" fontId="16" fillId="0" borderId="1" xfId="0" applyFont="1" applyBorder="1" applyAlignment="1">
      <alignment vertical="center"/>
    </xf>
    <xf numFmtId="0" fontId="16" fillId="0" borderId="7" xfId="0" applyFont="1" applyBorder="1" applyAlignment="1">
      <alignment horizontal="center" vertical="center"/>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16" fillId="0" borderId="7" xfId="0" applyFont="1" applyBorder="1" applyAlignment="1">
      <alignment horizontal="center" vertical="center" wrapText="1"/>
    </xf>
    <xf numFmtId="0" fontId="17" fillId="18" borderId="1" xfId="0" applyFont="1" applyFill="1" applyBorder="1" applyAlignment="1">
      <alignment horizontal="center" vertical="center" wrapText="1"/>
    </xf>
    <xf numFmtId="0" fontId="17" fillId="18" borderId="1" xfId="0" applyFont="1" applyFill="1" applyBorder="1" applyAlignment="1">
      <alignment horizontal="left" vertical="center" wrapText="1"/>
    </xf>
    <xf numFmtId="0" fontId="21" fillId="18" borderId="1" xfId="0" applyFont="1" applyFill="1" applyBorder="1" applyAlignment="1">
      <alignment horizontal="left" vertical="center" wrapText="1"/>
    </xf>
    <xf numFmtId="0" fontId="19" fillId="18" borderId="1" xfId="0" applyFont="1" applyFill="1" applyBorder="1" applyAlignment="1">
      <alignment horizontal="left" vertical="center" wrapText="1"/>
    </xf>
    <xf numFmtId="0" fontId="19" fillId="18" borderId="1" xfId="0" applyFont="1" applyFill="1" applyBorder="1" applyAlignment="1">
      <alignment horizontal="center" vertical="center" wrapText="1"/>
    </xf>
    <xf numFmtId="0" fontId="17" fillId="18" borderId="1" xfId="0" applyFont="1" applyFill="1" applyBorder="1" applyAlignment="1">
      <alignment horizontal="left" vertical="center"/>
    </xf>
    <xf numFmtId="0" fontId="22" fillId="16" borderId="1" xfId="0" applyFont="1" applyFill="1" applyBorder="1" applyAlignment="1">
      <alignment horizontal="center" vertical="center"/>
    </xf>
    <xf numFmtId="0" fontId="17" fillId="0" borderId="3" xfId="0" applyFont="1" applyBorder="1" applyAlignment="1">
      <alignment horizontal="center" vertical="center"/>
    </xf>
    <xf numFmtId="0" fontId="18" fillId="19" borderId="1" xfId="0" applyFont="1" applyFill="1" applyBorder="1" applyAlignment="1">
      <alignment horizontal="center" vertical="center"/>
    </xf>
    <xf numFmtId="0" fontId="17" fillId="16" borderId="4" xfId="0" applyFont="1" applyFill="1" applyBorder="1" applyAlignment="1">
      <alignment horizontal="left" vertical="center"/>
    </xf>
    <xf numFmtId="0" fontId="19" fillId="20" borderId="1" xfId="0" applyFont="1" applyFill="1" applyBorder="1" applyAlignment="1">
      <alignment horizontal="center" vertical="center" wrapText="1"/>
    </xf>
    <xf numFmtId="0" fontId="0" fillId="0" borderId="1" xfId="0" applyBorder="1" applyAlignment="1">
      <alignment vertical="center"/>
    </xf>
    <xf numFmtId="0" fontId="17" fillId="0" borderId="0" xfId="0" applyFont="1" applyAlignment="1">
      <alignment horizontal="center" vertical="center" wrapText="1"/>
    </xf>
    <xf numFmtId="0" fontId="17" fillId="21" borderId="1" xfId="0" applyFont="1" applyFill="1" applyBorder="1" applyAlignment="1">
      <alignment horizontal="center" vertical="center" wrapText="1"/>
    </xf>
    <xf numFmtId="0" fontId="17" fillId="21" borderId="1" xfId="0" applyFont="1" applyFill="1" applyBorder="1" applyAlignment="1">
      <alignment horizontal="center" vertical="center"/>
    </xf>
    <xf numFmtId="0" fontId="17" fillId="22" borderId="1" xfId="0" applyFont="1" applyFill="1" applyBorder="1" applyAlignment="1">
      <alignment horizontal="center" vertical="center"/>
    </xf>
    <xf numFmtId="0" fontId="17" fillId="22" borderId="1" xfId="0" applyFont="1" applyFill="1" applyBorder="1" applyAlignment="1">
      <alignment horizontal="center" vertical="center" wrapText="1"/>
    </xf>
    <xf numFmtId="0" fontId="21" fillId="21" borderId="1" xfId="0" applyFont="1" applyFill="1" applyBorder="1" applyAlignment="1">
      <alignment horizontal="center" vertical="center"/>
    </xf>
    <xf numFmtId="0" fontId="17" fillId="0" borderId="0" xfId="0" applyFont="1" applyAlignment="1">
      <alignment vertical="center" wrapText="1"/>
    </xf>
    <xf numFmtId="0" fontId="5" fillId="14" borderId="1" xfId="0" applyFont="1" applyFill="1" applyBorder="1" applyAlignment="1">
      <alignment horizontal="left" vertical="center"/>
    </xf>
    <xf numFmtId="0" fontId="5" fillId="15" borderId="1" xfId="0" applyFont="1" applyFill="1" applyBorder="1" applyAlignment="1">
      <alignment horizontal="left" vertical="center"/>
    </xf>
    <xf numFmtId="0" fontId="5" fillId="16" borderId="1" xfId="0" applyFont="1" applyFill="1" applyBorder="1" applyAlignment="1">
      <alignment horizontal="left" vertical="center"/>
    </xf>
    <xf numFmtId="0" fontId="17" fillId="16" borderId="4" xfId="0" applyFont="1" applyFill="1" applyBorder="1" applyAlignment="1">
      <alignment horizontal="center" vertical="center"/>
    </xf>
    <xf numFmtId="0" fontId="17" fillId="23" borderId="4" xfId="0" applyFont="1" applyFill="1" applyBorder="1" applyAlignment="1">
      <alignment horizontal="center" vertical="center" wrapText="1"/>
    </xf>
    <xf numFmtId="0" fontId="17" fillId="16" borderId="4" xfId="0" applyFont="1" applyFill="1" applyBorder="1" applyAlignment="1">
      <alignment horizontal="center" vertical="center" wrapText="1"/>
    </xf>
    <xf numFmtId="0" fontId="21" fillId="16" borderId="1" xfId="0" applyFont="1" applyFill="1" applyBorder="1" applyAlignment="1">
      <alignment horizontal="left" vertical="center" wrapText="1"/>
    </xf>
    <xf numFmtId="0" fontId="5" fillId="16" borderId="1" xfId="0" applyFont="1" applyFill="1" applyBorder="1" applyAlignment="1">
      <alignment vertical="top" wrapText="1"/>
    </xf>
    <xf numFmtId="0" fontId="5" fillId="18" borderId="1" xfId="0" applyFont="1" applyFill="1" applyBorder="1" applyAlignment="1">
      <alignment horizontal="left" vertical="center"/>
    </xf>
    <xf numFmtId="0" fontId="17" fillId="18" borderId="1" xfId="0" applyFont="1" applyFill="1" applyBorder="1" applyAlignment="1">
      <alignment vertical="center"/>
    </xf>
    <xf numFmtId="0" fontId="17" fillId="18" borderId="1" xfId="0" applyFont="1" applyFill="1" applyBorder="1" applyAlignment="1">
      <alignment vertical="center" wrapText="1"/>
    </xf>
    <xf numFmtId="0" fontId="19" fillId="18" borderId="1" xfId="0" applyFont="1" applyFill="1" applyBorder="1" applyAlignment="1">
      <alignment vertical="center" wrapText="1"/>
    </xf>
    <xf numFmtId="0" fontId="17" fillId="18" borderId="1" xfId="0" applyFont="1" applyFill="1" applyBorder="1" applyAlignment="1">
      <alignment horizontal="center" vertical="center"/>
    </xf>
    <xf numFmtId="0" fontId="23" fillId="0" borderId="0" xfId="0" applyFont="1" applyAlignment="1">
      <alignment horizontal="center" vertical="center" wrapText="1"/>
    </xf>
    <xf numFmtId="0" fontId="24" fillId="24" borderId="1" xfId="0" applyFont="1" applyFill="1" applyBorder="1" applyAlignment="1">
      <alignment horizontal="left" vertical="center" wrapText="1"/>
    </xf>
    <xf numFmtId="0" fontId="24" fillId="14" borderId="1" xfId="0" applyFont="1" applyFill="1" applyBorder="1" applyAlignment="1">
      <alignment horizontal="left" vertical="center" wrapText="1"/>
    </xf>
    <xf numFmtId="0" fontId="25" fillId="14" borderId="1" xfId="0" applyFont="1" applyFill="1" applyBorder="1" applyAlignment="1">
      <alignment horizontal="left" vertical="center" wrapText="1"/>
    </xf>
    <xf numFmtId="0" fontId="26" fillId="14" borderId="1" xfId="0" applyFont="1" applyFill="1" applyBorder="1" applyAlignment="1">
      <alignment horizontal="left" vertical="center" wrapText="1"/>
    </xf>
    <xf numFmtId="0" fontId="24" fillId="15" borderId="1" xfId="0" applyFont="1" applyFill="1" applyBorder="1" applyAlignment="1">
      <alignment horizontal="left" vertical="center" wrapText="1"/>
    </xf>
    <xf numFmtId="0" fontId="25" fillId="15" borderId="1" xfId="0" applyFont="1" applyFill="1" applyBorder="1" applyAlignment="1">
      <alignment horizontal="left" vertical="center" wrapText="1"/>
    </xf>
    <xf numFmtId="0" fontId="26" fillId="15" borderId="1" xfId="0" applyFont="1" applyFill="1" applyBorder="1" applyAlignment="1">
      <alignment horizontal="left" vertical="center" wrapText="1"/>
    </xf>
    <xf numFmtId="0" fontId="24" fillId="25" borderId="1" xfId="0" applyFont="1" applyFill="1" applyBorder="1" applyAlignment="1">
      <alignment horizontal="left" vertical="center" wrapText="1"/>
    </xf>
    <xf numFmtId="0" fontId="26" fillId="25" borderId="1" xfId="0" applyFont="1" applyFill="1" applyBorder="1" applyAlignment="1">
      <alignment horizontal="left" vertical="center" wrapText="1"/>
    </xf>
    <xf numFmtId="0" fontId="25" fillId="25" borderId="1" xfId="0" applyFont="1" applyFill="1" applyBorder="1" applyAlignment="1">
      <alignment horizontal="left" vertical="center" wrapText="1"/>
    </xf>
    <xf numFmtId="0" fontId="27" fillId="25" borderId="1" xfId="0" applyFont="1" applyFill="1" applyBorder="1" applyAlignment="1">
      <alignment horizontal="left" vertical="center"/>
    </xf>
    <xf numFmtId="0" fontId="24" fillId="26" borderId="1" xfId="0" applyFont="1" applyFill="1" applyBorder="1" applyAlignment="1">
      <alignment horizontal="left" vertical="center" wrapText="1"/>
    </xf>
    <xf numFmtId="0" fontId="24" fillId="17" borderId="1" xfId="0" applyFont="1" applyFill="1" applyBorder="1" applyAlignment="1">
      <alignment horizontal="left" vertical="center" wrapText="1"/>
    </xf>
    <xf numFmtId="0" fontId="24" fillId="17" borderId="1" xfId="0" applyFont="1" applyFill="1" applyBorder="1" applyAlignment="1">
      <alignment horizontal="left" vertical="center"/>
    </xf>
    <xf numFmtId="0" fontId="25" fillId="17" borderId="1" xfId="0" applyFont="1" applyFill="1" applyBorder="1" applyAlignment="1">
      <alignment horizontal="left" vertical="center"/>
    </xf>
    <xf numFmtId="0" fontId="25" fillId="17" borderId="1" xfId="0" applyFont="1" applyFill="1" applyBorder="1" applyAlignment="1">
      <alignment horizontal="left" vertical="center" wrapText="1"/>
    </xf>
    <xf numFmtId="0" fontId="24" fillId="0" borderId="1" xfId="0" applyFont="1" applyBorder="1" applyAlignment="1">
      <alignment horizontal="left" vertical="center" wrapText="1"/>
    </xf>
    <xf numFmtId="0" fontId="28" fillId="0" borderId="1" xfId="0" applyFont="1" applyBorder="1" applyAlignment="1">
      <alignment horizontal="left" vertical="center" wrapText="1"/>
    </xf>
    <xf numFmtId="0" fontId="25" fillId="0" borderId="1" xfId="0" applyFont="1" applyBorder="1" applyAlignment="1">
      <alignment horizontal="left" vertical="center" wrapText="1"/>
    </xf>
    <xf numFmtId="0" fontId="25" fillId="0" borderId="1" xfId="0" applyFont="1" applyBorder="1" applyAlignment="1">
      <alignment horizontal="left" vertical="center"/>
    </xf>
    <xf numFmtId="0" fontId="29" fillId="0" borderId="1" xfId="0" applyFont="1" applyBorder="1" applyAlignment="1">
      <alignment horizontal="left" vertical="center"/>
    </xf>
    <xf numFmtId="0" fontId="27" fillId="0" borderId="1" xfId="0" applyFont="1" applyBorder="1" applyAlignment="1">
      <alignment horizontal="left" vertical="center"/>
    </xf>
    <xf numFmtId="0" fontId="28" fillId="0" borderId="1" xfId="0" applyFont="1" applyBorder="1" applyAlignment="1">
      <alignment horizontal="left" vertical="center"/>
    </xf>
    <xf numFmtId="0" fontId="19" fillId="0" borderId="0" xfId="0" applyFont="1" applyAlignment="1">
      <alignment vertical="center"/>
    </xf>
    <xf numFmtId="0" fontId="16" fillId="24" borderId="1" xfId="0" applyFont="1" applyFill="1" applyBorder="1" applyAlignment="1">
      <alignment horizontal="center" vertical="center" wrapText="1"/>
    </xf>
    <xf numFmtId="0" fontId="19" fillId="14" borderId="1" xfId="0" applyFont="1" applyFill="1" applyBorder="1" applyAlignment="1">
      <alignment horizontal="center" vertical="center" wrapText="1"/>
    </xf>
    <xf numFmtId="0" fontId="17" fillId="17" borderId="1" xfId="0" applyFont="1" applyFill="1" applyBorder="1" applyAlignment="1">
      <alignment horizontal="center" vertical="center" wrapText="1"/>
    </xf>
    <xf numFmtId="0" fontId="17" fillId="17" borderId="1" xfId="0" applyFont="1" applyFill="1" applyBorder="1" applyAlignment="1">
      <alignment horizontal="left" vertical="center" wrapText="1"/>
    </xf>
    <xf numFmtId="0" fontId="19" fillId="15" borderId="1" xfId="0" applyFont="1" applyFill="1" applyBorder="1" applyAlignment="1">
      <alignment horizontal="center" vertical="center" wrapText="1"/>
    </xf>
    <xf numFmtId="0" fontId="21" fillId="17" borderId="1" xfId="0" applyFont="1" applyFill="1" applyBorder="1" applyAlignment="1">
      <alignment horizontal="left" vertical="center" wrapText="1"/>
    </xf>
    <xf numFmtId="0" fontId="17" fillId="18" borderId="4"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19" fillId="16" borderId="1" xfId="0" applyFont="1" applyFill="1" applyBorder="1" applyAlignment="1">
      <alignment horizontal="center" vertical="center" wrapText="1"/>
    </xf>
    <xf numFmtId="0" fontId="17" fillId="16" borderId="2" xfId="0" applyFont="1" applyFill="1" applyBorder="1" applyAlignment="1">
      <alignment horizontal="center" vertical="center" wrapText="1"/>
    </xf>
    <xf numFmtId="0" fontId="17" fillId="23" borderId="1" xfId="0" applyFont="1" applyFill="1" applyBorder="1" applyAlignment="1">
      <alignment horizontal="center" vertical="center" wrapText="1"/>
    </xf>
    <xf numFmtId="0" fontId="17" fillId="23"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9" fillId="0" borderId="1" xfId="0" applyFont="1" applyBorder="1" applyAlignment="1">
      <alignment horizontal="left" vertical="center" wrapText="1"/>
    </xf>
    <xf numFmtId="0" fontId="21" fillId="0" borderId="1" xfId="0" applyFont="1" applyBorder="1" applyAlignment="1">
      <alignment horizontal="left" vertical="center" wrapText="1"/>
    </xf>
    <xf numFmtId="0" fontId="30" fillId="0" borderId="1" xfId="0" applyFont="1" applyBorder="1" applyAlignment="1">
      <alignment horizontal="left" vertical="center" wrapText="1"/>
    </xf>
    <xf numFmtId="0" fontId="30" fillId="17" borderId="1" xfId="0" applyFont="1" applyFill="1" applyBorder="1" applyAlignment="1">
      <alignment horizontal="left" vertical="center" wrapText="1"/>
    </xf>
    <xf numFmtId="0" fontId="17" fillId="20" borderId="1" xfId="0" applyFont="1" applyFill="1" applyBorder="1" applyAlignment="1">
      <alignment horizontal="left" vertical="center" wrapText="1"/>
    </xf>
    <xf numFmtId="0" fontId="31" fillId="0" borderId="1" xfId="0" applyFont="1" applyBorder="1" applyAlignment="1">
      <alignment horizontal="left" vertical="center" wrapText="1"/>
    </xf>
    <xf numFmtId="0" fontId="18" fillId="0" borderId="1" xfId="0" applyFont="1" applyBorder="1" applyAlignment="1">
      <alignment horizontal="left" vertical="center" wrapText="1"/>
    </xf>
    <xf numFmtId="0" fontId="32" fillId="0" borderId="1" xfId="0" applyFont="1" applyBorder="1" applyAlignment="1">
      <alignment horizontal="left" vertical="center" wrapText="1"/>
    </xf>
    <xf numFmtId="0" fontId="32" fillId="20" borderId="1" xfId="0" applyFont="1" applyFill="1" applyBorder="1" applyAlignment="1">
      <alignment horizontal="left" vertical="center" wrapText="1"/>
    </xf>
    <xf numFmtId="0" fontId="16" fillId="24" borderId="12" xfId="0" applyFont="1" applyFill="1" applyBorder="1" applyAlignment="1">
      <alignment horizontal="center" vertical="center" wrapText="1"/>
    </xf>
    <xf numFmtId="0" fontId="21" fillId="14" borderId="12" xfId="0" applyFont="1" applyFill="1" applyBorder="1" applyAlignment="1">
      <alignment horizontal="left" vertical="center" wrapText="1"/>
    </xf>
    <xf numFmtId="0" fontId="19" fillId="14" borderId="12" xfId="0" applyFont="1" applyFill="1" applyBorder="1" applyAlignment="1">
      <alignment horizontal="left" vertical="center" wrapText="1"/>
    </xf>
    <xf numFmtId="0" fontId="17" fillId="0" borderId="12" xfId="0" applyFont="1" applyBorder="1" applyAlignment="1">
      <alignment horizontal="left" vertical="center" wrapText="1"/>
    </xf>
    <xf numFmtId="0" fontId="19" fillId="0" borderId="12" xfId="0" applyFont="1" applyBorder="1" applyAlignment="1">
      <alignment horizontal="left" vertical="center" wrapText="1"/>
    </xf>
    <xf numFmtId="0" fontId="21" fillId="15" borderId="12" xfId="0" applyFont="1" applyFill="1" applyBorder="1" applyAlignment="1">
      <alignment horizontal="left" vertical="center" wrapText="1"/>
    </xf>
    <xf numFmtId="0" fontId="33" fillId="0" borderId="1" xfId="0" applyFont="1" applyBorder="1" applyAlignment="1">
      <alignment horizontal="left" vertical="center" wrapText="1"/>
    </xf>
    <xf numFmtId="0" fontId="17" fillId="15" borderId="12" xfId="0" applyFont="1" applyFill="1" applyBorder="1" applyAlignment="1">
      <alignment horizontal="left" vertical="center" wrapText="1"/>
    </xf>
    <xf numFmtId="0" fontId="19" fillId="15" borderId="12" xfId="0" applyFont="1" applyFill="1" applyBorder="1" applyAlignment="1">
      <alignment horizontal="left" vertical="center" wrapText="1"/>
    </xf>
    <xf numFmtId="0" fontId="21" fillId="16" borderId="12" xfId="0" applyFont="1" applyFill="1" applyBorder="1" applyAlignment="1">
      <alignment horizontal="left" vertical="center" wrapText="1"/>
    </xf>
    <xf numFmtId="0" fontId="19" fillId="16" borderId="12" xfId="0" applyFont="1" applyFill="1" applyBorder="1" applyAlignment="1">
      <alignment horizontal="left" vertical="center" wrapText="1"/>
    </xf>
    <xf numFmtId="0" fontId="21" fillId="17" borderId="12" xfId="0" applyFont="1" applyFill="1" applyBorder="1" applyAlignment="1">
      <alignment horizontal="left" vertical="center" wrapText="1"/>
    </xf>
    <xf numFmtId="0" fontId="19" fillId="27" borderId="12" xfId="0" applyFont="1" applyFill="1" applyBorder="1" applyAlignment="1">
      <alignment horizontal="left" vertical="center" wrapText="1"/>
    </xf>
    <xf numFmtId="0" fontId="21" fillId="27" borderId="12" xfId="0" applyFont="1" applyFill="1" applyBorder="1" applyAlignment="1">
      <alignment horizontal="left" vertical="center" wrapText="1"/>
    </xf>
    <xf numFmtId="0" fontId="17" fillId="20" borderId="12" xfId="0" applyFont="1" applyFill="1" applyBorder="1" applyAlignment="1">
      <alignment horizontal="left" vertical="center" wrapText="1"/>
    </xf>
    <xf numFmtId="0" fontId="17" fillId="16" borderId="12" xfId="0" applyFont="1" applyFill="1" applyBorder="1" applyAlignment="1">
      <alignment horizontal="left" vertical="center" wrapText="1"/>
    </xf>
    <xf numFmtId="0" fontId="18" fillId="0" borderId="12" xfId="0" applyFont="1" applyBorder="1" applyAlignment="1">
      <alignment horizontal="left" vertical="center" wrapText="1"/>
    </xf>
    <xf numFmtId="0" fontId="16" fillId="24" borderId="0" xfId="0" applyFont="1" applyFill="1" applyAlignment="1">
      <alignment horizontal="center" vertical="center" wrapText="1"/>
    </xf>
    <xf numFmtId="0" fontId="16" fillId="17" borderId="0" xfId="0" applyFont="1" applyFill="1" applyAlignment="1">
      <alignment horizontal="center" vertical="center" wrapText="1"/>
    </xf>
    <xf numFmtId="0" fontId="17" fillId="0" borderId="1" xfId="0" applyFont="1" applyBorder="1" applyAlignment="1">
      <alignment vertical="center" wrapText="1"/>
    </xf>
    <xf numFmtId="0" fontId="19" fillId="0" borderId="1" xfId="0" applyFont="1" applyBorder="1" applyAlignment="1">
      <alignment vertical="center" wrapText="1"/>
    </xf>
    <xf numFmtId="0" fontId="21" fillId="15" borderId="1" xfId="0" applyFont="1" applyFill="1" applyBorder="1" applyAlignment="1">
      <alignment horizontal="left" vertical="center" wrapText="1"/>
    </xf>
    <xf numFmtId="0" fontId="17" fillId="2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8"/>
  <sheetViews>
    <sheetView zoomScale="46" zoomScaleNormal="46" workbookViewId="0">
      <pane xSplit="3" ySplit="1" topLeftCell="D2" activePane="bottomRight" state="frozen"/>
      <selection/>
      <selection pane="topRight"/>
      <selection pane="bottomLeft"/>
      <selection pane="bottomRight" activeCell="D58" sqref="D58"/>
    </sheetView>
  </sheetViews>
  <sheetFormatPr defaultColWidth="8.66346153846154" defaultRowHeight="16.8"/>
  <cols>
    <col min="1" max="1" width="14.3365384615385" style="62" customWidth="1"/>
    <col min="2" max="2" width="12.1634615384615" style="62" customWidth="1"/>
    <col min="3" max="3" width="15.5" style="62" customWidth="1"/>
    <col min="4" max="6" width="40.6634615384615" style="61" customWidth="1"/>
    <col min="7" max="10" width="40.6634615384615" style="117" customWidth="1"/>
    <col min="11" max="11" width="40.6634615384615" style="61" customWidth="1"/>
    <col min="12" max="14" width="40.6634615384615" style="117" customWidth="1"/>
    <col min="15" max="15" width="40.6634615384615" style="61" customWidth="1"/>
    <col min="16" max="16" width="40.6634615384615" style="117" customWidth="1"/>
    <col min="17" max="18" width="40.6634615384615" style="61" customWidth="1"/>
    <col min="19" max="19" width="40.6634615384615" style="117" customWidth="1"/>
    <col min="20" max="20" width="59.3365384615385" style="61" customWidth="1"/>
    <col min="21" max="21" width="69.8365384615385" style="61" customWidth="1"/>
    <col min="22" max="22" width="37" style="61" customWidth="1"/>
    <col min="23" max="16384" width="8.66346153846154" style="61" customWidth="1"/>
  </cols>
  <sheetData>
    <row r="1" s="60" customFormat="1" ht="36" customHeight="1" spans="1:22">
      <c r="A1" s="156" t="s">
        <v>0</v>
      </c>
      <c r="B1" s="156" t="s">
        <v>1</v>
      </c>
      <c r="C1" s="156" t="s">
        <v>2</v>
      </c>
      <c r="D1" s="156" t="s">
        <v>3</v>
      </c>
      <c r="E1" s="156" t="s">
        <v>4</v>
      </c>
      <c r="F1" s="156" t="s">
        <v>5</v>
      </c>
      <c r="G1" s="156" t="s">
        <v>6</v>
      </c>
      <c r="H1" s="156" t="s">
        <v>7</v>
      </c>
      <c r="I1" s="156" t="s">
        <v>8</v>
      </c>
      <c r="J1" s="156" t="s">
        <v>9</v>
      </c>
      <c r="K1" s="156" t="s">
        <v>10</v>
      </c>
      <c r="L1" s="156" t="s">
        <v>11</v>
      </c>
      <c r="M1" s="156" t="s">
        <v>12</v>
      </c>
      <c r="N1" s="156" t="s">
        <v>13</v>
      </c>
      <c r="O1" s="156" t="s">
        <v>14</v>
      </c>
      <c r="P1" s="156" t="s">
        <v>15</v>
      </c>
      <c r="Q1" s="156" t="s">
        <v>16</v>
      </c>
      <c r="R1" s="156" t="s">
        <v>17</v>
      </c>
      <c r="S1" s="156" t="s">
        <v>18</v>
      </c>
      <c r="T1" s="178" t="s">
        <v>19</v>
      </c>
      <c r="U1" s="195" t="s">
        <v>20</v>
      </c>
      <c r="V1" s="196" t="s">
        <v>21</v>
      </c>
    </row>
    <row r="2" ht="409.5" customHeight="1" spans="1:22">
      <c r="A2" s="67" t="s">
        <v>22</v>
      </c>
      <c r="B2" s="67" t="s">
        <v>23</v>
      </c>
      <c r="C2" s="67" t="s">
        <v>24</v>
      </c>
      <c r="D2" s="68" t="s">
        <v>25</v>
      </c>
      <c r="E2" s="168" t="s">
        <v>26</v>
      </c>
      <c r="F2" s="168"/>
      <c r="G2" s="168" t="s">
        <v>27</v>
      </c>
      <c r="H2" s="168" t="s">
        <v>28</v>
      </c>
      <c r="I2" s="168"/>
      <c r="J2" s="168"/>
      <c r="K2" s="168"/>
      <c r="L2" s="168" t="s">
        <v>29</v>
      </c>
      <c r="M2" s="168" t="s">
        <v>30</v>
      </c>
      <c r="N2" s="168" t="s">
        <v>31</v>
      </c>
      <c r="O2" s="168" t="s">
        <v>32</v>
      </c>
      <c r="P2" s="168" t="s">
        <v>33</v>
      </c>
      <c r="Q2" s="175" t="s">
        <v>34</v>
      </c>
      <c r="R2" s="168" t="s">
        <v>35</v>
      </c>
      <c r="S2" s="175" t="s">
        <v>36</v>
      </c>
      <c r="T2" s="179" t="s">
        <v>37</v>
      </c>
      <c r="U2" s="168" t="s">
        <v>38</v>
      </c>
      <c r="V2" s="197" t="s">
        <v>39</v>
      </c>
    </row>
    <row r="3" ht="404" customHeight="1" spans="1:22">
      <c r="A3" s="14"/>
      <c r="B3" s="14"/>
      <c r="C3" s="67" t="s">
        <v>40</v>
      </c>
      <c r="D3" s="68" t="s">
        <v>25</v>
      </c>
      <c r="E3" s="168" t="s">
        <v>26</v>
      </c>
      <c r="F3" s="168"/>
      <c r="G3" s="168" t="s">
        <v>27</v>
      </c>
      <c r="H3" s="168" t="s">
        <v>28</v>
      </c>
      <c r="I3" s="168"/>
      <c r="J3" s="168"/>
      <c r="K3" s="168"/>
      <c r="L3" s="168" t="s">
        <v>41</v>
      </c>
      <c r="M3" s="168" t="s">
        <v>42</v>
      </c>
      <c r="N3" s="168" t="s">
        <v>43</v>
      </c>
      <c r="O3" s="168" t="s">
        <v>44</v>
      </c>
      <c r="P3" s="168" t="s">
        <v>45</v>
      </c>
      <c r="Q3" s="168" t="s">
        <v>46</v>
      </c>
      <c r="R3" s="168" t="s">
        <v>47</v>
      </c>
      <c r="S3" s="175" t="s">
        <v>48</v>
      </c>
      <c r="T3" s="179" t="s">
        <v>49</v>
      </c>
      <c r="U3" s="168" t="s">
        <v>50</v>
      </c>
      <c r="V3" s="197" t="s">
        <v>51</v>
      </c>
    </row>
    <row r="4" ht="269" customHeight="1" spans="1:22">
      <c r="A4" s="14"/>
      <c r="B4" s="15"/>
      <c r="C4" s="157" t="s">
        <v>52</v>
      </c>
      <c r="D4" s="76" t="s">
        <v>53</v>
      </c>
      <c r="E4" s="169" t="s">
        <v>54</v>
      </c>
      <c r="F4" s="169"/>
      <c r="G4" s="169" t="s">
        <v>55</v>
      </c>
      <c r="H4" s="169"/>
      <c r="I4" s="169" t="s">
        <v>56</v>
      </c>
      <c r="J4" s="169"/>
      <c r="K4" s="174"/>
      <c r="L4" s="169" t="s">
        <v>57</v>
      </c>
      <c r="M4" s="169"/>
      <c r="N4" s="169" t="s">
        <v>58</v>
      </c>
      <c r="O4" s="169"/>
      <c r="P4" s="169"/>
      <c r="Q4" s="169" t="s">
        <v>59</v>
      </c>
      <c r="R4" s="169"/>
      <c r="S4" s="169"/>
      <c r="T4" s="180" t="s">
        <v>60</v>
      </c>
      <c r="U4" s="169" t="s">
        <v>61</v>
      </c>
      <c r="V4" s="198" t="s">
        <v>62</v>
      </c>
    </row>
    <row r="5" ht="409.5" customHeight="1" spans="1:22">
      <c r="A5" s="14"/>
      <c r="B5" s="67" t="s">
        <v>63</v>
      </c>
      <c r="C5" s="67" t="s">
        <v>64</v>
      </c>
      <c r="D5" s="68" t="s">
        <v>65</v>
      </c>
      <c r="E5" s="168" t="s">
        <v>66</v>
      </c>
      <c r="F5" s="168"/>
      <c r="G5" s="168" t="s">
        <v>67</v>
      </c>
      <c r="H5" s="168" t="s">
        <v>68</v>
      </c>
      <c r="I5" s="168" t="s">
        <v>69</v>
      </c>
      <c r="J5" s="168"/>
      <c r="K5" s="168"/>
      <c r="L5" s="175" t="s">
        <v>70</v>
      </c>
      <c r="M5" s="175" t="s">
        <v>71</v>
      </c>
      <c r="N5" s="168" t="s">
        <v>72</v>
      </c>
      <c r="O5" s="175" t="s">
        <v>73</v>
      </c>
      <c r="P5" s="168" t="s">
        <v>74</v>
      </c>
      <c r="Q5" s="175" t="s">
        <v>75</v>
      </c>
      <c r="R5" s="168" t="s">
        <v>76</v>
      </c>
      <c r="S5" s="175" t="s">
        <v>77</v>
      </c>
      <c r="T5" s="181" t="s">
        <v>78</v>
      </c>
      <c r="U5" s="168" t="s">
        <v>79</v>
      </c>
      <c r="V5" s="197" t="s">
        <v>80</v>
      </c>
    </row>
    <row r="6" ht="152" customHeight="1" spans="1:22">
      <c r="A6" s="15"/>
      <c r="B6" s="15"/>
      <c r="C6" s="157" t="s">
        <v>81</v>
      </c>
      <c r="D6" s="76" t="s">
        <v>82</v>
      </c>
      <c r="E6" s="169"/>
      <c r="F6" s="169"/>
      <c r="G6" s="169"/>
      <c r="H6" s="169"/>
      <c r="I6" s="169" t="s">
        <v>83</v>
      </c>
      <c r="J6" s="169"/>
      <c r="K6" s="169"/>
      <c r="L6" s="169"/>
      <c r="M6" s="169"/>
      <c r="N6" s="169"/>
      <c r="O6" s="169"/>
      <c r="P6" s="169"/>
      <c r="Q6" s="169" t="s">
        <v>84</v>
      </c>
      <c r="R6" s="169"/>
      <c r="S6" s="169" t="s">
        <v>85</v>
      </c>
      <c r="T6" s="182"/>
      <c r="U6" s="169" t="s">
        <v>86</v>
      </c>
      <c r="V6" s="198" t="s">
        <v>87</v>
      </c>
    </row>
    <row r="7" ht="409.5" customHeight="1" spans="1:27">
      <c r="A7" s="70" t="s">
        <v>88</v>
      </c>
      <c r="B7" s="158" t="s">
        <v>89</v>
      </c>
      <c r="C7" s="158" t="s">
        <v>90</v>
      </c>
      <c r="D7" s="159" t="s">
        <v>91</v>
      </c>
      <c r="E7" s="168" t="s">
        <v>92</v>
      </c>
      <c r="F7" s="168"/>
      <c r="G7" s="168" t="s">
        <v>93</v>
      </c>
      <c r="H7" s="168"/>
      <c r="I7" s="168" t="s">
        <v>94</v>
      </c>
      <c r="J7" s="168"/>
      <c r="K7" s="168"/>
      <c r="L7" s="168" t="s">
        <v>95</v>
      </c>
      <c r="M7" s="168"/>
      <c r="N7" s="168" t="s">
        <v>96</v>
      </c>
      <c r="O7" s="168" t="s">
        <v>97</v>
      </c>
      <c r="P7" s="168" t="s">
        <v>98</v>
      </c>
      <c r="Q7" s="175" t="s">
        <v>99</v>
      </c>
      <c r="R7" s="168"/>
      <c r="S7" s="175" t="s">
        <v>100</v>
      </c>
      <c r="T7" s="183" t="s">
        <v>101</v>
      </c>
      <c r="U7" s="199" t="s">
        <v>101</v>
      </c>
      <c r="V7" s="197" t="s">
        <v>102</v>
      </c>
      <c r="W7" s="200"/>
      <c r="X7" s="200"/>
      <c r="Y7" s="200"/>
      <c r="Z7" s="200"/>
      <c r="AA7" s="200"/>
    </row>
    <row r="8" ht="409.5" customHeight="1" spans="1:27">
      <c r="A8" s="14"/>
      <c r="B8" s="15"/>
      <c r="C8" s="158" t="s">
        <v>103</v>
      </c>
      <c r="D8" s="159" t="s">
        <v>104</v>
      </c>
      <c r="E8" s="168" t="s">
        <v>105</v>
      </c>
      <c r="F8" s="168"/>
      <c r="G8" s="168" t="s">
        <v>106</v>
      </c>
      <c r="H8" s="168"/>
      <c r="I8" s="168" t="s">
        <v>107</v>
      </c>
      <c r="J8" s="168"/>
      <c r="K8" s="168"/>
      <c r="L8" s="168" t="s">
        <v>108</v>
      </c>
      <c r="M8" s="168"/>
      <c r="N8" s="168"/>
      <c r="O8" s="168"/>
      <c r="P8" s="168"/>
      <c r="Q8" s="175" t="s">
        <v>109</v>
      </c>
      <c r="R8" s="168" t="s">
        <v>110</v>
      </c>
      <c r="S8" s="175" t="s">
        <v>111</v>
      </c>
      <c r="T8" s="181" t="s">
        <v>112</v>
      </c>
      <c r="U8" s="168" t="s">
        <v>113</v>
      </c>
      <c r="V8" s="197" t="s">
        <v>114</v>
      </c>
      <c r="W8" s="200"/>
      <c r="X8" s="200"/>
      <c r="Y8" s="200"/>
      <c r="Z8" s="200"/>
      <c r="AA8" s="200"/>
    </row>
    <row r="9" ht="409.5" customHeight="1" spans="1:22">
      <c r="A9" s="14"/>
      <c r="B9" s="70" t="s">
        <v>115</v>
      </c>
      <c r="C9" s="70" t="s">
        <v>116</v>
      </c>
      <c r="D9" s="71" t="s">
        <v>117</v>
      </c>
      <c r="E9" s="168" t="s">
        <v>118</v>
      </c>
      <c r="F9" s="168"/>
      <c r="G9" s="168" t="s">
        <v>119</v>
      </c>
      <c r="H9" s="170" t="s">
        <v>120</v>
      </c>
      <c r="I9" s="170" t="s">
        <v>121</v>
      </c>
      <c r="J9" s="170"/>
      <c r="K9" s="168"/>
      <c r="L9" s="168" t="s">
        <v>122</v>
      </c>
      <c r="M9" s="168" t="s">
        <v>123</v>
      </c>
      <c r="N9" s="168" t="s">
        <v>124</v>
      </c>
      <c r="O9" s="168"/>
      <c r="P9" s="175" t="s">
        <v>125</v>
      </c>
      <c r="Q9" s="175" t="s">
        <v>126</v>
      </c>
      <c r="R9" s="168"/>
      <c r="S9" s="175" t="s">
        <v>127</v>
      </c>
      <c r="T9" s="183" t="s">
        <v>128</v>
      </c>
      <c r="U9" s="168" t="s">
        <v>129</v>
      </c>
      <c r="V9" s="168" t="s">
        <v>130</v>
      </c>
    </row>
    <row r="10" ht="185" customHeight="1" spans="1:22">
      <c r="A10" s="14"/>
      <c r="B10" s="15"/>
      <c r="C10" s="158" t="s">
        <v>131</v>
      </c>
      <c r="D10" s="159" t="s">
        <v>132</v>
      </c>
      <c r="E10" s="168" t="s">
        <v>118</v>
      </c>
      <c r="F10" s="168"/>
      <c r="G10" s="168" t="s">
        <v>133</v>
      </c>
      <c r="H10" s="168"/>
      <c r="I10" s="168"/>
      <c r="J10" s="168"/>
      <c r="K10" s="168"/>
      <c r="L10" s="168" t="s">
        <v>134</v>
      </c>
      <c r="M10" s="168"/>
      <c r="N10" s="168" t="s">
        <v>135</v>
      </c>
      <c r="O10" s="168" t="s">
        <v>136</v>
      </c>
      <c r="P10" s="168" t="s">
        <v>137</v>
      </c>
      <c r="Q10" s="168" t="s">
        <v>138</v>
      </c>
      <c r="R10" s="168"/>
      <c r="S10" s="184" t="s">
        <v>139</v>
      </c>
      <c r="T10" s="181" t="s">
        <v>140</v>
      </c>
      <c r="U10" s="168" t="s">
        <v>141</v>
      </c>
      <c r="V10" s="159" t="s">
        <v>142</v>
      </c>
    </row>
    <row r="11" ht="303" customHeight="1" spans="1:22">
      <c r="A11" s="14"/>
      <c r="B11" s="70" t="s">
        <v>143</v>
      </c>
      <c r="C11" s="70" t="s">
        <v>144</v>
      </c>
      <c r="D11" s="71" t="s">
        <v>145</v>
      </c>
      <c r="E11" s="168"/>
      <c r="F11" s="168"/>
      <c r="G11" s="168" t="s">
        <v>146</v>
      </c>
      <c r="H11" s="168" t="s">
        <v>147</v>
      </c>
      <c r="I11" s="168" t="s">
        <v>148</v>
      </c>
      <c r="J11" s="168"/>
      <c r="K11" s="168"/>
      <c r="L11" s="168" t="s">
        <v>149</v>
      </c>
      <c r="M11" s="168"/>
      <c r="N11" s="168" t="s">
        <v>150</v>
      </c>
      <c r="O11" s="168"/>
      <c r="P11" s="168" t="s">
        <v>151</v>
      </c>
      <c r="Q11" s="168"/>
      <c r="R11" s="168" t="s">
        <v>110</v>
      </c>
      <c r="S11" s="168"/>
      <c r="T11" s="183" t="s">
        <v>152</v>
      </c>
      <c r="U11" s="168" t="s">
        <v>153</v>
      </c>
      <c r="V11" s="197" t="s">
        <v>154</v>
      </c>
    </row>
    <row r="12" ht="303" customHeight="1" spans="1:22">
      <c r="A12" s="14"/>
      <c r="B12" s="14"/>
      <c r="C12" s="70" t="s">
        <v>155</v>
      </c>
      <c r="D12" s="71" t="s">
        <v>156</v>
      </c>
      <c r="E12" s="168"/>
      <c r="F12" s="168"/>
      <c r="G12" s="168" t="s">
        <v>157</v>
      </c>
      <c r="H12" s="171"/>
      <c r="I12" s="170" t="s">
        <v>158</v>
      </c>
      <c r="J12" s="170"/>
      <c r="K12" s="168"/>
      <c r="L12" s="168" t="s">
        <v>159</v>
      </c>
      <c r="M12" s="168" t="s">
        <v>160</v>
      </c>
      <c r="N12" s="168" t="s">
        <v>161</v>
      </c>
      <c r="O12" s="168"/>
      <c r="P12" s="168" t="s">
        <v>162</v>
      </c>
      <c r="Q12" s="168"/>
      <c r="R12" s="168"/>
      <c r="S12" s="168"/>
      <c r="T12" s="181" t="s">
        <v>163</v>
      </c>
      <c r="U12" s="168" t="s">
        <v>164</v>
      </c>
      <c r="V12" s="197" t="s">
        <v>165</v>
      </c>
    </row>
    <row r="13" ht="409.5" customHeight="1" spans="1:22">
      <c r="A13" s="14"/>
      <c r="B13" s="14"/>
      <c r="C13" s="70" t="s">
        <v>166</v>
      </c>
      <c r="D13" s="71" t="s">
        <v>167</v>
      </c>
      <c r="E13" s="168"/>
      <c r="F13" s="168"/>
      <c r="G13" s="168" t="s">
        <v>168</v>
      </c>
      <c r="H13" s="171"/>
      <c r="I13" s="170" t="s">
        <v>169</v>
      </c>
      <c r="J13" s="170"/>
      <c r="K13" s="168"/>
      <c r="L13" s="168" t="s">
        <v>170</v>
      </c>
      <c r="M13" s="168"/>
      <c r="N13" s="168" t="s">
        <v>171</v>
      </c>
      <c r="O13" s="168"/>
      <c r="P13" s="168" t="s">
        <v>172</v>
      </c>
      <c r="Q13" s="168"/>
      <c r="R13" s="168"/>
      <c r="S13" s="168"/>
      <c r="T13" s="183" t="s">
        <v>173</v>
      </c>
      <c r="U13" s="168" t="s">
        <v>174</v>
      </c>
      <c r="V13" s="197" t="s">
        <v>175</v>
      </c>
    </row>
    <row r="14" ht="168" customHeight="1" spans="1:22">
      <c r="A14" s="14"/>
      <c r="B14" s="14"/>
      <c r="C14" s="70" t="s">
        <v>176</v>
      </c>
      <c r="D14" s="71" t="s">
        <v>177</v>
      </c>
      <c r="E14" s="168" t="s">
        <v>54</v>
      </c>
      <c r="F14" s="168"/>
      <c r="G14" s="169" t="s">
        <v>178</v>
      </c>
      <c r="H14" s="170" t="s">
        <v>179</v>
      </c>
      <c r="I14" s="170" t="s">
        <v>180</v>
      </c>
      <c r="J14" s="168" t="s">
        <v>181</v>
      </c>
      <c r="K14" s="168"/>
      <c r="L14" s="168"/>
      <c r="M14" s="168"/>
      <c r="N14" s="168"/>
      <c r="O14" s="168"/>
      <c r="P14" s="168"/>
      <c r="Q14" s="168"/>
      <c r="R14" s="168"/>
      <c r="S14" s="168"/>
      <c r="T14" s="185" t="s">
        <v>182</v>
      </c>
      <c r="U14" s="71" t="s">
        <v>182</v>
      </c>
      <c r="V14" s="197" t="s">
        <v>183</v>
      </c>
    </row>
    <row r="15" s="155" customFormat="1" ht="320" customHeight="1" spans="1:22">
      <c r="A15" s="14"/>
      <c r="B15" s="14"/>
      <c r="C15" s="160" t="s">
        <v>184</v>
      </c>
      <c r="D15" s="78" t="s">
        <v>185</v>
      </c>
      <c r="E15" s="169"/>
      <c r="F15" s="169"/>
      <c r="G15" s="169" t="s">
        <v>186</v>
      </c>
      <c r="H15" s="169"/>
      <c r="I15" s="169" t="s">
        <v>187</v>
      </c>
      <c r="J15" s="169" t="s">
        <v>188</v>
      </c>
      <c r="K15" s="169"/>
      <c r="L15" s="169"/>
      <c r="M15" s="169"/>
      <c r="N15" s="169"/>
      <c r="O15" s="169"/>
      <c r="P15" s="169"/>
      <c r="Q15" s="169"/>
      <c r="R15" s="169" t="s">
        <v>189</v>
      </c>
      <c r="S15" s="169"/>
      <c r="T15" s="186" t="s">
        <v>190</v>
      </c>
      <c r="U15" s="78" t="s">
        <v>190</v>
      </c>
      <c r="V15" s="197" t="s">
        <v>191</v>
      </c>
    </row>
    <row r="16" s="155" customFormat="1" ht="168" customHeight="1" spans="1:22">
      <c r="A16" s="15"/>
      <c r="B16" s="15"/>
      <c r="C16" s="160" t="s">
        <v>192</v>
      </c>
      <c r="D16" s="78" t="s">
        <v>193</v>
      </c>
      <c r="E16" s="169"/>
      <c r="F16" s="169"/>
      <c r="G16" s="169" t="s">
        <v>194</v>
      </c>
      <c r="H16" s="169"/>
      <c r="I16" s="169" t="s">
        <v>195</v>
      </c>
      <c r="J16" s="169" t="s">
        <v>196</v>
      </c>
      <c r="K16" s="174" t="s">
        <v>197</v>
      </c>
      <c r="L16" s="169"/>
      <c r="M16" s="169"/>
      <c r="N16" s="169"/>
      <c r="O16" s="169"/>
      <c r="P16" s="169"/>
      <c r="Q16" s="169"/>
      <c r="R16" s="169"/>
      <c r="S16" s="169"/>
      <c r="T16" s="186" t="s">
        <v>198</v>
      </c>
      <c r="U16" s="78" t="s">
        <v>198</v>
      </c>
      <c r="V16" s="197" t="s">
        <v>199</v>
      </c>
    </row>
    <row r="17" ht="185" customHeight="1" spans="1:27">
      <c r="A17" s="80" t="s">
        <v>200</v>
      </c>
      <c r="B17" s="158" t="s">
        <v>201</v>
      </c>
      <c r="C17" s="158" t="s">
        <v>202</v>
      </c>
      <c r="D17" s="161" t="s">
        <v>203</v>
      </c>
      <c r="E17" s="168"/>
      <c r="F17" s="168"/>
      <c r="G17" s="168" t="s">
        <v>204</v>
      </c>
      <c r="H17" s="168" t="s">
        <v>205</v>
      </c>
      <c r="I17" s="168"/>
      <c r="J17" s="168"/>
      <c r="K17" s="168"/>
      <c r="L17" s="168"/>
      <c r="M17" s="168"/>
      <c r="N17" s="168"/>
      <c r="O17" s="168" t="s">
        <v>206</v>
      </c>
      <c r="P17" s="168"/>
      <c r="Q17" s="168"/>
      <c r="R17" s="168"/>
      <c r="S17" s="168"/>
      <c r="T17" s="187" t="s">
        <v>207</v>
      </c>
      <c r="U17" s="124" t="s">
        <v>208</v>
      </c>
      <c r="V17" s="173" t="s">
        <v>209</v>
      </c>
      <c r="W17" s="117"/>
      <c r="X17" s="117"/>
      <c r="Y17" s="117"/>
      <c r="Z17" s="117"/>
      <c r="AA17" s="117"/>
    </row>
    <row r="18" ht="370" customHeight="1" spans="1:27">
      <c r="A18" s="14"/>
      <c r="B18" s="14"/>
      <c r="C18" s="158" t="s">
        <v>210</v>
      </c>
      <c r="D18" s="159" t="s">
        <v>211</v>
      </c>
      <c r="E18" s="168"/>
      <c r="F18" s="168" t="s">
        <v>212</v>
      </c>
      <c r="G18" s="168"/>
      <c r="H18" s="168" t="s">
        <v>213</v>
      </c>
      <c r="I18" s="168"/>
      <c r="J18" s="168"/>
      <c r="K18" s="176" t="s">
        <v>214</v>
      </c>
      <c r="L18" s="168"/>
      <c r="M18" s="168"/>
      <c r="N18" s="168"/>
      <c r="O18" s="168"/>
      <c r="P18" s="168"/>
      <c r="Q18" s="168"/>
      <c r="R18" s="168"/>
      <c r="S18" s="168"/>
      <c r="T18" s="187" t="s">
        <v>215</v>
      </c>
      <c r="U18" s="124" t="s">
        <v>216</v>
      </c>
      <c r="V18" s="168" t="s">
        <v>217</v>
      </c>
      <c r="W18" s="117"/>
      <c r="X18" s="117"/>
      <c r="Y18" s="117"/>
      <c r="Z18" s="117"/>
      <c r="AA18" s="117"/>
    </row>
    <row r="19" ht="320" customHeight="1" spans="1:22">
      <c r="A19" s="14"/>
      <c r="B19" s="15"/>
      <c r="C19" s="158" t="s">
        <v>218</v>
      </c>
      <c r="D19" s="159" t="s">
        <v>219</v>
      </c>
      <c r="E19" s="168"/>
      <c r="F19" s="168"/>
      <c r="G19" s="168"/>
      <c r="H19" s="168"/>
      <c r="I19" s="168"/>
      <c r="J19" s="168"/>
      <c r="K19" s="176" t="s">
        <v>220</v>
      </c>
      <c r="L19" s="168" t="s">
        <v>221</v>
      </c>
      <c r="M19" s="168" t="s">
        <v>222</v>
      </c>
      <c r="N19" s="168" t="s">
        <v>223</v>
      </c>
      <c r="O19" s="168"/>
      <c r="P19" s="168"/>
      <c r="Q19" s="168"/>
      <c r="R19" s="168"/>
      <c r="S19" s="168"/>
      <c r="T19" s="181" t="s">
        <v>224</v>
      </c>
      <c r="U19" s="168" t="s">
        <v>174</v>
      </c>
      <c r="V19" s="159" t="s">
        <v>225</v>
      </c>
    </row>
    <row r="20" s="155" customFormat="1" ht="236" customHeight="1" spans="1:27">
      <c r="A20" s="14"/>
      <c r="B20" s="162" t="s">
        <v>226</v>
      </c>
      <c r="C20" s="80" t="s">
        <v>227</v>
      </c>
      <c r="D20" s="75" t="s">
        <v>228</v>
      </c>
      <c r="E20" s="169"/>
      <c r="F20" s="169"/>
      <c r="G20" s="169" t="s">
        <v>229</v>
      </c>
      <c r="H20" s="169"/>
      <c r="I20" s="169"/>
      <c r="J20" s="169"/>
      <c r="K20" s="174" t="s">
        <v>230</v>
      </c>
      <c r="L20" s="169"/>
      <c r="M20" s="169"/>
      <c r="N20" s="169"/>
      <c r="O20" s="169"/>
      <c r="P20" s="169"/>
      <c r="Q20" s="169"/>
      <c r="R20" s="169"/>
      <c r="S20" s="169"/>
      <c r="T20" s="188" t="s">
        <v>231</v>
      </c>
      <c r="U20" s="169" t="s">
        <v>232</v>
      </c>
      <c r="V20" s="169" t="s">
        <v>233</v>
      </c>
      <c r="W20" s="117"/>
      <c r="X20" s="117"/>
      <c r="Y20" s="117"/>
      <c r="Z20" s="117"/>
      <c r="AA20" s="117"/>
    </row>
    <row r="21" ht="409.5" customHeight="1" spans="1:22">
      <c r="A21" s="14"/>
      <c r="B21" s="14"/>
      <c r="C21" s="80" t="s">
        <v>234</v>
      </c>
      <c r="D21" s="75" t="s">
        <v>235</v>
      </c>
      <c r="E21" s="168" t="s">
        <v>236</v>
      </c>
      <c r="F21" s="168"/>
      <c r="G21" s="168" t="s">
        <v>237</v>
      </c>
      <c r="H21" s="168" t="s">
        <v>238</v>
      </c>
      <c r="I21" s="168" t="s">
        <v>239</v>
      </c>
      <c r="J21" s="168"/>
      <c r="K21" s="176" t="s">
        <v>240</v>
      </c>
      <c r="L21" s="168" t="s">
        <v>241</v>
      </c>
      <c r="M21" s="168"/>
      <c r="N21" s="168" t="s">
        <v>242</v>
      </c>
      <c r="O21" s="168"/>
      <c r="P21" s="168"/>
      <c r="Q21" s="168"/>
      <c r="R21" s="168" t="s">
        <v>243</v>
      </c>
      <c r="S21" s="168"/>
      <c r="T21" s="187" t="s">
        <v>244</v>
      </c>
      <c r="U21" s="168" t="s">
        <v>245</v>
      </c>
      <c r="V21" s="168" t="s">
        <v>246</v>
      </c>
    </row>
    <row r="22" ht="409.5" customHeight="1" spans="1:22">
      <c r="A22" s="14"/>
      <c r="B22" s="14"/>
      <c r="C22" s="80" t="s">
        <v>247</v>
      </c>
      <c r="D22" s="75" t="s">
        <v>248</v>
      </c>
      <c r="E22" s="168" t="s">
        <v>249</v>
      </c>
      <c r="F22" s="168"/>
      <c r="G22" s="168" t="s">
        <v>250</v>
      </c>
      <c r="H22" s="168" t="s">
        <v>251</v>
      </c>
      <c r="I22" s="168"/>
      <c r="J22" s="168"/>
      <c r="K22" s="176" t="s">
        <v>252</v>
      </c>
      <c r="L22" s="168" t="s">
        <v>253</v>
      </c>
      <c r="M22" s="168" t="s">
        <v>254</v>
      </c>
      <c r="N22" s="168"/>
      <c r="O22" s="175" t="s">
        <v>255</v>
      </c>
      <c r="P22" s="168" t="s">
        <v>256</v>
      </c>
      <c r="Q22" s="168"/>
      <c r="R22" s="168" t="s">
        <v>257</v>
      </c>
      <c r="S22" s="168"/>
      <c r="T22" s="187" t="s">
        <v>258</v>
      </c>
      <c r="U22" s="168" t="s">
        <v>259</v>
      </c>
      <c r="V22" s="86" t="s">
        <v>260</v>
      </c>
    </row>
    <row r="23" ht="168" customHeight="1" spans="1:22">
      <c r="A23" s="14"/>
      <c r="B23" s="14"/>
      <c r="C23" s="80" t="s">
        <v>261</v>
      </c>
      <c r="D23" s="75" t="s">
        <v>262</v>
      </c>
      <c r="E23" s="168" t="s">
        <v>249</v>
      </c>
      <c r="F23" s="168"/>
      <c r="G23" s="168" t="s">
        <v>250</v>
      </c>
      <c r="H23" s="168"/>
      <c r="I23" s="168"/>
      <c r="J23" s="168"/>
      <c r="K23" s="168"/>
      <c r="L23" s="168"/>
      <c r="M23" s="168" t="s">
        <v>254</v>
      </c>
      <c r="N23" s="175"/>
      <c r="O23" s="168" t="s">
        <v>84</v>
      </c>
      <c r="P23" s="168"/>
      <c r="Q23" s="168"/>
      <c r="R23" s="168"/>
      <c r="S23" s="168"/>
      <c r="T23" s="187" t="s">
        <v>263</v>
      </c>
      <c r="U23" s="168" t="s">
        <v>264</v>
      </c>
      <c r="V23" s="15"/>
    </row>
    <row r="24" ht="168" customHeight="1" spans="1:27">
      <c r="A24" s="14"/>
      <c r="B24" s="14"/>
      <c r="C24" s="158" t="s">
        <v>265</v>
      </c>
      <c r="D24" s="161" t="s">
        <v>266</v>
      </c>
      <c r="E24" s="159"/>
      <c r="F24" s="159"/>
      <c r="G24" s="159" t="s">
        <v>267</v>
      </c>
      <c r="H24" s="172"/>
      <c r="I24" s="161" t="s">
        <v>94</v>
      </c>
      <c r="J24" s="161"/>
      <c r="K24" s="159"/>
      <c r="L24" s="159"/>
      <c r="M24" s="159"/>
      <c r="N24" s="159"/>
      <c r="O24" s="159"/>
      <c r="P24" s="159"/>
      <c r="Q24" s="159"/>
      <c r="R24" s="159"/>
      <c r="S24" s="159"/>
      <c r="T24" s="189" t="s">
        <v>268</v>
      </c>
      <c r="U24" s="159" t="s">
        <v>269</v>
      </c>
      <c r="V24" s="159" t="s">
        <v>270</v>
      </c>
      <c r="W24" s="117"/>
      <c r="X24" s="117"/>
      <c r="Y24" s="117"/>
      <c r="Z24" s="117"/>
      <c r="AA24" s="117"/>
    </row>
    <row r="25" ht="202" customHeight="1" spans="1:22">
      <c r="A25" s="14"/>
      <c r="B25" s="14"/>
      <c r="C25" s="158" t="s">
        <v>271</v>
      </c>
      <c r="D25" s="159" t="s">
        <v>272</v>
      </c>
      <c r="E25" s="159"/>
      <c r="F25" s="159"/>
      <c r="G25" s="159" t="s">
        <v>267</v>
      </c>
      <c r="H25" s="159" t="s">
        <v>273</v>
      </c>
      <c r="I25" s="161" t="s">
        <v>94</v>
      </c>
      <c r="J25" s="161"/>
      <c r="K25" s="159"/>
      <c r="L25" s="159"/>
      <c r="M25" s="159"/>
      <c r="N25" s="159"/>
      <c r="O25" s="159" t="s">
        <v>274</v>
      </c>
      <c r="P25" s="159"/>
      <c r="Q25" s="159"/>
      <c r="R25" s="159" t="s">
        <v>275</v>
      </c>
      <c r="S25" s="159"/>
      <c r="T25" s="189" t="s">
        <v>276</v>
      </c>
      <c r="U25" s="159" t="s">
        <v>277</v>
      </c>
      <c r="V25" s="159" t="s">
        <v>278</v>
      </c>
    </row>
    <row r="26" ht="152" customHeight="1" spans="1:22">
      <c r="A26" s="14"/>
      <c r="B26" s="99" t="s">
        <v>279</v>
      </c>
      <c r="C26" s="80" t="s">
        <v>280</v>
      </c>
      <c r="D26" s="75" t="s">
        <v>281</v>
      </c>
      <c r="E26" s="168"/>
      <c r="F26" s="168" t="s">
        <v>282</v>
      </c>
      <c r="G26" s="168" t="s">
        <v>283</v>
      </c>
      <c r="H26" s="168" t="s">
        <v>284</v>
      </c>
      <c r="I26" s="170" t="s">
        <v>285</v>
      </c>
      <c r="J26" s="170"/>
      <c r="K26" s="168"/>
      <c r="L26" s="168"/>
      <c r="M26" s="168" t="s">
        <v>286</v>
      </c>
      <c r="N26" s="168"/>
      <c r="O26" s="168"/>
      <c r="P26" s="168"/>
      <c r="Q26" s="168"/>
      <c r="R26" s="168" t="s">
        <v>287</v>
      </c>
      <c r="S26" s="168"/>
      <c r="T26" s="187" t="s">
        <v>288</v>
      </c>
      <c r="U26" s="168" t="s">
        <v>289</v>
      </c>
      <c r="V26" s="168" t="s">
        <v>290</v>
      </c>
    </row>
    <row r="27" ht="252" customHeight="1" spans="1:22">
      <c r="A27" s="14"/>
      <c r="B27" s="14"/>
      <c r="C27" s="15"/>
      <c r="D27" s="124" t="s">
        <v>291</v>
      </c>
      <c r="E27" s="168"/>
      <c r="F27" s="168"/>
      <c r="G27" s="168" t="s">
        <v>292</v>
      </c>
      <c r="H27" s="168"/>
      <c r="I27" s="168"/>
      <c r="J27" s="168"/>
      <c r="K27" s="176" t="s">
        <v>293</v>
      </c>
      <c r="L27" s="168"/>
      <c r="M27" s="168"/>
      <c r="N27" s="168"/>
      <c r="O27" s="168"/>
      <c r="P27" s="168"/>
      <c r="Q27" s="168"/>
      <c r="R27" s="168" t="s">
        <v>294</v>
      </c>
      <c r="S27" s="168"/>
      <c r="T27" s="187" t="s">
        <v>295</v>
      </c>
      <c r="U27" s="168" t="s">
        <v>296</v>
      </c>
      <c r="V27" s="169" t="s">
        <v>297</v>
      </c>
    </row>
    <row r="28" ht="409.5" customHeight="1" spans="1:22">
      <c r="A28" s="14"/>
      <c r="B28" s="15"/>
      <c r="C28" s="158" t="s">
        <v>298</v>
      </c>
      <c r="D28" s="159" t="s">
        <v>299</v>
      </c>
      <c r="E28" s="168"/>
      <c r="F28" s="168" t="s">
        <v>300</v>
      </c>
      <c r="G28" s="168"/>
      <c r="H28" s="168"/>
      <c r="I28" s="168"/>
      <c r="J28" s="168"/>
      <c r="K28" s="168" t="s">
        <v>301</v>
      </c>
      <c r="L28" s="168"/>
      <c r="M28" s="168"/>
      <c r="N28" s="168"/>
      <c r="O28" s="168"/>
      <c r="P28" s="168"/>
      <c r="Q28" s="168"/>
      <c r="R28" s="168" t="s">
        <v>302</v>
      </c>
      <c r="S28" s="168"/>
      <c r="T28" s="181" t="s">
        <v>303</v>
      </c>
      <c r="U28" s="168" t="s">
        <v>304</v>
      </c>
      <c r="V28" s="168" t="s">
        <v>305</v>
      </c>
    </row>
    <row r="29" ht="286" customHeight="1" spans="1:22">
      <c r="A29" s="14"/>
      <c r="B29" s="163" t="s">
        <v>306</v>
      </c>
      <c r="C29" s="80" t="s">
        <v>307</v>
      </c>
      <c r="D29" s="75" t="s">
        <v>308</v>
      </c>
      <c r="E29" s="168" t="s">
        <v>309</v>
      </c>
      <c r="F29" s="168"/>
      <c r="G29" s="168" t="s">
        <v>310</v>
      </c>
      <c r="H29" s="168" t="s">
        <v>311</v>
      </c>
      <c r="I29" s="168" t="s">
        <v>312</v>
      </c>
      <c r="J29" s="168" t="s">
        <v>313</v>
      </c>
      <c r="K29" s="168" t="s">
        <v>314</v>
      </c>
      <c r="L29" s="168"/>
      <c r="M29" s="168"/>
      <c r="N29" s="168"/>
      <c r="O29" s="168"/>
      <c r="P29" s="168"/>
      <c r="Q29" s="168"/>
      <c r="R29" s="168" t="s">
        <v>315</v>
      </c>
      <c r="S29" s="168"/>
      <c r="T29" s="187" t="s">
        <v>316</v>
      </c>
      <c r="U29" s="168" t="s">
        <v>317</v>
      </c>
      <c r="V29" s="168" t="s">
        <v>318</v>
      </c>
    </row>
    <row r="30" ht="168" customHeight="1" spans="1:22">
      <c r="A30" s="14"/>
      <c r="B30" s="15"/>
      <c r="C30" s="158" t="s">
        <v>319</v>
      </c>
      <c r="D30" s="159" t="s">
        <v>320</v>
      </c>
      <c r="E30" s="168" t="s">
        <v>309</v>
      </c>
      <c r="F30" s="168"/>
      <c r="G30" s="168" t="s">
        <v>310</v>
      </c>
      <c r="H30" s="168" t="s">
        <v>321</v>
      </c>
      <c r="I30" s="168" t="s">
        <v>312</v>
      </c>
      <c r="J30" s="168"/>
      <c r="K30" s="176" t="s">
        <v>322</v>
      </c>
      <c r="L30" s="168"/>
      <c r="M30" s="168"/>
      <c r="N30" s="168"/>
      <c r="O30" s="168"/>
      <c r="P30" s="168"/>
      <c r="Q30" s="168"/>
      <c r="R30" s="168"/>
      <c r="S30" s="175"/>
      <c r="T30" s="187" t="s">
        <v>323</v>
      </c>
      <c r="U30" s="168" t="s">
        <v>324</v>
      </c>
      <c r="V30" s="168" t="s">
        <v>325</v>
      </c>
    </row>
    <row r="31" ht="219" customHeight="1" spans="1:22">
      <c r="A31" s="14"/>
      <c r="B31" s="80" t="s">
        <v>326</v>
      </c>
      <c r="C31" s="80" t="s">
        <v>327</v>
      </c>
      <c r="D31" s="75" t="s">
        <v>328</v>
      </c>
      <c r="E31" s="168" t="s">
        <v>309</v>
      </c>
      <c r="F31" s="168"/>
      <c r="G31" s="169" t="s">
        <v>329</v>
      </c>
      <c r="H31" s="168" t="s">
        <v>330</v>
      </c>
      <c r="I31" s="168" t="s">
        <v>331</v>
      </c>
      <c r="J31" s="168"/>
      <c r="K31" s="168"/>
      <c r="L31" s="168"/>
      <c r="M31" s="168"/>
      <c r="N31" s="168"/>
      <c r="O31" s="168"/>
      <c r="P31" s="168"/>
      <c r="Q31" s="168"/>
      <c r="R31" s="168"/>
      <c r="S31" s="175" t="s">
        <v>332</v>
      </c>
      <c r="T31" s="187" t="s">
        <v>333</v>
      </c>
      <c r="U31" s="168" t="s">
        <v>334</v>
      </c>
      <c r="V31" s="168" t="s">
        <v>335</v>
      </c>
    </row>
    <row r="32" ht="185" customHeight="1" spans="1:22">
      <c r="A32" s="14"/>
      <c r="B32" s="80" t="s">
        <v>336</v>
      </c>
      <c r="C32" s="158" t="s">
        <v>337</v>
      </c>
      <c r="D32" s="159" t="s">
        <v>338</v>
      </c>
      <c r="E32" s="168"/>
      <c r="F32" s="168"/>
      <c r="G32" s="169"/>
      <c r="H32" s="168"/>
      <c r="I32" s="168"/>
      <c r="J32" s="168"/>
      <c r="K32" s="168"/>
      <c r="L32" s="168"/>
      <c r="M32" s="168"/>
      <c r="N32" s="168"/>
      <c r="O32" s="168"/>
      <c r="P32" s="168"/>
      <c r="Q32" s="168"/>
      <c r="R32" s="168"/>
      <c r="S32" s="175"/>
      <c r="T32" s="187" t="s">
        <v>339</v>
      </c>
      <c r="U32" s="168" t="s">
        <v>340</v>
      </c>
      <c r="V32" s="168" t="s">
        <v>341</v>
      </c>
    </row>
    <row r="33" ht="303" customHeight="1" spans="1:22">
      <c r="A33" s="14"/>
      <c r="B33" s="14"/>
      <c r="C33" s="80" t="s">
        <v>342</v>
      </c>
      <c r="D33" s="75" t="s">
        <v>343</v>
      </c>
      <c r="E33" s="168" t="s">
        <v>344</v>
      </c>
      <c r="F33" s="168"/>
      <c r="G33" s="169" t="s">
        <v>329</v>
      </c>
      <c r="H33" s="170" t="s">
        <v>345</v>
      </c>
      <c r="I33" s="170" t="s">
        <v>346</v>
      </c>
      <c r="J33" s="170"/>
      <c r="K33" s="168"/>
      <c r="L33" s="168"/>
      <c r="M33" s="168"/>
      <c r="N33" s="168"/>
      <c r="O33" s="168"/>
      <c r="P33" s="168"/>
      <c r="Q33" s="168" t="s">
        <v>347</v>
      </c>
      <c r="R33" s="168"/>
      <c r="S33" s="168"/>
      <c r="T33" s="187" t="s">
        <v>348</v>
      </c>
      <c r="U33" s="168" t="s">
        <v>349</v>
      </c>
      <c r="V33" s="197" t="s">
        <v>350</v>
      </c>
    </row>
    <row r="34" ht="269" customHeight="1" spans="1:22">
      <c r="A34" s="14"/>
      <c r="B34" s="14"/>
      <c r="C34" s="80" t="s">
        <v>351</v>
      </c>
      <c r="D34" s="75" t="s">
        <v>352</v>
      </c>
      <c r="E34" s="168" t="s">
        <v>344</v>
      </c>
      <c r="F34" s="168"/>
      <c r="G34" s="168" t="s">
        <v>329</v>
      </c>
      <c r="H34" s="170" t="s">
        <v>345</v>
      </c>
      <c r="I34" s="170" t="s">
        <v>353</v>
      </c>
      <c r="J34" s="170"/>
      <c r="K34" s="168"/>
      <c r="L34" s="168"/>
      <c r="M34" s="168"/>
      <c r="N34" s="168"/>
      <c r="O34" s="168"/>
      <c r="P34" s="168"/>
      <c r="Q34" s="168"/>
      <c r="R34" s="168" t="s">
        <v>354</v>
      </c>
      <c r="S34" s="168"/>
      <c r="T34" s="187" t="s">
        <v>355</v>
      </c>
      <c r="U34" s="168" t="s">
        <v>356</v>
      </c>
      <c r="V34" s="197" t="s">
        <v>357</v>
      </c>
    </row>
    <row r="35" s="155" customFormat="1" ht="168" customHeight="1" spans="1:22">
      <c r="A35" s="14"/>
      <c r="B35" s="14"/>
      <c r="C35" s="164" t="s">
        <v>358</v>
      </c>
      <c r="D35" s="82" t="s">
        <v>359</v>
      </c>
      <c r="E35" s="169" t="s">
        <v>344</v>
      </c>
      <c r="F35" s="169"/>
      <c r="G35" s="169" t="s">
        <v>360</v>
      </c>
      <c r="H35" s="169" t="s">
        <v>345</v>
      </c>
      <c r="I35" s="169" t="s">
        <v>353</v>
      </c>
      <c r="J35" s="169" t="s">
        <v>196</v>
      </c>
      <c r="K35" s="169"/>
      <c r="L35" s="169"/>
      <c r="M35" s="169"/>
      <c r="N35" s="169"/>
      <c r="O35" s="169"/>
      <c r="P35" s="169"/>
      <c r="Q35" s="169"/>
      <c r="R35" s="169"/>
      <c r="S35" s="169"/>
      <c r="T35" s="188" t="s">
        <v>361</v>
      </c>
      <c r="U35" s="82" t="s">
        <v>361</v>
      </c>
      <c r="V35" s="198" t="s">
        <v>362</v>
      </c>
    </row>
    <row r="36" ht="219" customHeight="1" spans="1:22">
      <c r="A36" s="14"/>
      <c r="B36" s="15"/>
      <c r="C36" s="164" t="s">
        <v>363</v>
      </c>
      <c r="D36" s="82" t="s">
        <v>364</v>
      </c>
      <c r="E36" s="169" t="s">
        <v>344</v>
      </c>
      <c r="F36" s="169"/>
      <c r="G36" s="169" t="s">
        <v>365</v>
      </c>
      <c r="H36" s="169" t="s">
        <v>345</v>
      </c>
      <c r="I36" s="169"/>
      <c r="J36" s="169" t="s">
        <v>196</v>
      </c>
      <c r="K36" s="169"/>
      <c r="L36" s="169"/>
      <c r="M36" s="169"/>
      <c r="N36" s="169"/>
      <c r="O36" s="169"/>
      <c r="P36" s="169"/>
      <c r="Q36" s="169"/>
      <c r="R36" s="169"/>
      <c r="S36" s="169"/>
      <c r="T36" s="188" t="s">
        <v>366</v>
      </c>
      <c r="U36" s="82" t="s">
        <v>366</v>
      </c>
      <c r="V36" s="198" t="s">
        <v>367</v>
      </c>
    </row>
    <row r="37" s="155" customFormat="1" ht="185" customHeight="1" spans="1:27">
      <c r="A37" s="14"/>
      <c r="B37" s="99" t="s">
        <v>368</v>
      </c>
      <c r="C37" s="103" t="s">
        <v>369</v>
      </c>
      <c r="D37" s="102" t="s">
        <v>370</v>
      </c>
      <c r="E37" s="169"/>
      <c r="F37" s="169"/>
      <c r="G37" s="169" t="s">
        <v>371</v>
      </c>
      <c r="H37" s="169" t="s">
        <v>372</v>
      </c>
      <c r="I37" s="169" t="s">
        <v>373</v>
      </c>
      <c r="J37" s="169" t="s">
        <v>374</v>
      </c>
      <c r="K37" s="174" t="s">
        <v>375</v>
      </c>
      <c r="L37" s="169"/>
      <c r="M37" s="169"/>
      <c r="N37" s="169"/>
      <c r="O37" s="169"/>
      <c r="P37" s="169"/>
      <c r="Q37" s="169"/>
      <c r="R37" s="169"/>
      <c r="S37" s="169"/>
      <c r="T37" s="190" t="s">
        <v>376</v>
      </c>
      <c r="U37" s="169" t="s">
        <v>377</v>
      </c>
      <c r="V37" s="198" t="s">
        <v>378</v>
      </c>
      <c r="W37" s="117"/>
      <c r="X37" s="117"/>
      <c r="Y37" s="117"/>
      <c r="Z37" s="117"/>
      <c r="AA37" s="117"/>
    </row>
    <row r="38" ht="168" customHeight="1" spans="1:22">
      <c r="A38" s="14"/>
      <c r="B38" s="14"/>
      <c r="C38" s="158" t="s">
        <v>379</v>
      </c>
      <c r="D38" s="159" t="s">
        <v>380</v>
      </c>
      <c r="E38" s="168"/>
      <c r="F38" s="168"/>
      <c r="G38" s="168" t="s">
        <v>371</v>
      </c>
      <c r="H38" s="170" t="s">
        <v>372</v>
      </c>
      <c r="I38" s="170"/>
      <c r="J38" s="170" t="s">
        <v>381</v>
      </c>
      <c r="K38" s="176" t="s">
        <v>375</v>
      </c>
      <c r="L38" s="168"/>
      <c r="M38" s="168"/>
      <c r="N38" s="168"/>
      <c r="O38" s="168"/>
      <c r="P38" s="168"/>
      <c r="Q38" s="168"/>
      <c r="R38" s="168"/>
      <c r="S38" s="168"/>
      <c r="T38" s="181" t="s">
        <v>382</v>
      </c>
      <c r="U38" s="168" t="s">
        <v>383</v>
      </c>
      <c r="V38" s="198" t="s">
        <v>384</v>
      </c>
    </row>
    <row r="39" ht="185" customHeight="1" spans="1:22">
      <c r="A39" s="14"/>
      <c r="B39" s="14"/>
      <c r="C39" s="158" t="s">
        <v>385</v>
      </c>
      <c r="D39" s="159" t="s">
        <v>386</v>
      </c>
      <c r="E39" s="168"/>
      <c r="F39" s="168"/>
      <c r="G39" s="168" t="s">
        <v>371</v>
      </c>
      <c r="H39" s="170" t="s">
        <v>372</v>
      </c>
      <c r="I39" s="170"/>
      <c r="J39" s="170" t="s">
        <v>387</v>
      </c>
      <c r="K39" s="176"/>
      <c r="L39" s="168"/>
      <c r="M39" s="168"/>
      <c r="N39" s="168"/>
      <c r="O39" s="168"/>
      <c r="P39" s="168"/>
      <c r="Q39" s="168"/>
      <c r="R39" s="168"/>
      <c r="S39" s="168"/>
      <c r="T39" s="181" t="s">
        <v>388</v>
      </c>
      <c r="U39" s="168" t="s">
        <v>389</v>
      </c>
      <c r="V39" s="198" t="s">
        <v>390</v>
      </c>
    </row>
    <row r="40" ht="303" customHeight="1" spans="1:22">
      <c r="A40" s="14"/>
      <c r="B40" s="14"/>
      <c r="C40" s="99" t="s">
        <v>391</v>
      </c>
      <c r="D40" s="100" t="s">
        <v>392</v>
      </c>
      <c r="E40" s="168" t="s">
        <v>393</v>
      </c>
      <c r="F40" s="168" t="s">
        <v>394</v>
      </c>
      <c r="G40" s="168" t="s">
        <v>395</v>
      </c>
      <c r="H40" s="170" t="s">
        <v>396</v>
      </c>
      <c r="I40" s="170" t="s">
        <v>397</v>
      </c>
      <c r="J40" s="170"/>
      <c r="K40" s="176" t="s">
        <v>398</v>
      </c>
      <c r="L40" s="168"/>
      <c r="M40" s="168" t="s">
        <v>399</v>
      </c>
      <c r="N40" s="168" t="s">
        <v>223</v>
      </c>
      <c r="O40" s="168" t="s">
        <v>400</v>
      </c>
      <c r="P40" s="168"/>
      <c r="Q40" s="168"/>
      <c r="R40" s="168"/>
      <c r="S40" s="168"/>
      <c r="T40" s="191" t="s">
        <v>401</v>
      </c>
      <c r="U40" s="168" t="s">
        <v>402</v>
      </c>
      <c r="V40" s="168" t="s">
        <v>403</v>
      </c>
    </row>
    <row r="41" s="155" customFormat="1" ht="168" customHeight="1" spans="1:27">
      <c r="A41" s="14"/>
      <c r="B41" s="14"/>
      <c r="C41" s="103" t="s">
        <v>404</v>
      </c>
      <c r="D41" s="102" t="s">
        <v>405</v>
      </c>
      <c r="E41" s="169" t="s">
        <v>309</v>
      </c>
      <c r="F41" s="169"/>
      <c r="G41" s="169"/>
      <c r="H41" s="169" t="s">
        <v>330</v>
      </c>
      <c r="I41" s="169" t="s">
        <v>406</v>
      </c>
      <c r="J41" s="169"/>
      <c r="K41" s="169"/>
      <c r="L41" s="169"/>
      <c r="M41" s="169"/>
      <c r="N41" s="169"/>
      <c r="O41" s="169"/>
      <c r="P41" s="169"/>
      <c r="Q41" s="169"/>
      <c r="R41" s="169"/>
      <c r="S41" s="169"/>
      <c r="T41" s="190" t="s">
        <v>407</v>
      </c>
      <c r="U41" s="169" t="s">
        <v>408</v>
      </c>
      <c r="V41" s="169" t="s">
        <v>409</v>
      </c>
      <c r="W41" s="117"/>
      <c r="X41" s="117"/>
      <c r="Y41" s="117"/>
      <c r="Z41" s="117"/>
      <c r="AA41" s="117"/>
    </row>
    <row r="42" ht="185" customHeight="1" spans="1:27">
      <c r="A42" s="15"/>
      <c r="B42" s="15"/>
      <c r="C42" s="158" t="s">
        <v>410</v>
      </c>
      <c r="D42" s="159" t="s">
        <v>411</v>
      </c>
      <c r="E42" s="168" t="s">
        <v>412</v>
      </c>
      <c r="F42" s="168" t="s">
        <v>413</v>
      </c>
      <c r="G42" s="168" t="s">
        <v>371</v>
      </c>
      <c r="H42" s="170" t="s">
        <v>414</v>
      </c>
      <c r="I42" s="170" t="s">
        <v>415</v>
      </c>
      <c r="J42" s="170"/>
      <c r="K42" s="176" t="s">
        <v>416</v>
      </c>
      <c r="L42" s="168"/>
      <c r="M42" s="168"/>
      <c r="N42" s="168"/>
      <c r="O42" s="168" t="s">
        <v>84</v>
      </c>
      <c r="P42" s="168"/>
      <c r="Q42" s="168"/>
      <c r="R42" s="168"/>
      <c r="S42" s="168"/>
      <c r="T42" s="181" t="s">
        <v>417</v>
      </c>
      <c r="U42" s="168" t="s">
        <v>418</v>
      </c>
      <c r="V42" s="168" t="s">
        <v>419</v>
      </c>
      <c r="W42" s="117"/>
      <c r="X42" s="117"/>
      <c r="Y42" s="117"/>
      <c r="Z42" s="117"/>
      <c r="AA42" s="117"/>
    </row>
    <row r="43" ht="236" customHeight="1" spans="1:27">
      <c r="A43" s="165"/>
      <c r="B43" s="165" t="s">
        <v>420</v>
      </c>
      <c r="C43" s="158" t="s">
        <v>421</v>
      </c>
      <c r="D43" s="159" t="s">
        <v>422</v>
      </c>
      <c r="E43" s="168"/>
      <c r="F43" s="168" t="s">
        <v>423</v>
      </c>
      <c r="G43" s="168"/>
      <c r="H43" s="168"/>
      <c r="I43" s="168"/>
      <c r="J43" s="168"/>
      <c r="K43" s="168"/>
      <c r="L43" s="168"/>
      <c r="M43" s="168"/>
      <c r="N43" s="168"/>
      <c r="O43" s="168"/>
      <c r="P43" s="168"/>
      <c r="Q43" s="168"/>
      <c r="R43" s="168" t="s">
        <v>424</v>
      </c>
      <c r="S43" s="168"/>
      <c r="T43" s="181" t="s">
        <v>323</v>
      </c>
      <c r="U43" s="168" t="s">
        <v>425</v>
      </c>
      <c r="V43" s="86" t="s">
        <v>426</v>
      </c>
      <c r="W43" s="117"/>
      <c r="X43" s="117"/>
      <c r="Y43" s="117"/>
      <c r="Z43" s="117"/>
      <c r="AA43" s="117"/>
    </row>
    <row r="44" ht="135" customHeight="1" spans="1:27">
      <c r="A44" s="165"/>
      <c r="B44" s="14"/>
      <c r="C44" s="158" t="s">
        <v>427</v>
      </c>
      <c r="D44" s="159" t="s">
        <v>428</v>
      </c>
      <c r="E44" s="168"/>
      <c r="F44" s="168" t="s">
        <v>429</v>
      </c>
      <c r="G44" s="168"/>
      <c r="H44" s="168"/>
      <c r="I44" s="168"/>
      <c r="J44" s="168"/>
      <c r="K44" s="168"/>
      <c r="L44" s="168"/>
      <c r="M44" s="168"/>
      <c r="N44" s="168"/>
      <c r="O44" s="168"/>
      <c r="P44" s="168"/>
      <c r="Q44" s="168"/>
      <c r="R44" s="168"/>
      <c r="S44" s="168"/>
      <c r="T44" s="181" t="s">
        <v>323</v>
      </c>
      <c r="U44" s="168" t="s">
        <v>323</v>
      </c>
      <c r="V44" s="117" t="s">
        <v>430</v>
      </c>
      <c r="W44" s="117"/>
      <c r="X44" s="117"/>
      <c r="Y44" s="117"/>
      <c r="Z44" s="117"/>
      <c r="AA44" s="117"/>
    </row>
    <row r="45" ht="152" customHeight="1" spans="1:27">
      <c r="A45" s="165"/>
      <c r="B45" s="14"/>
      <c r="C45" s="158" t="s">
        <v>431</v>
      </c>
      <c r="D45" s="159" t="s">
        <v>432</v>
      </c>
      <c r="E45" s="168"/>
      <c r="F45" s="168" t="s">
        <v>433</v>
      </c>
      <c r="G45" s="168"/>
      <c r="H45" s="168"/>
      <c r="I45" s="168"/>
      <c r="J45" s="168"/>
      <c r="K45" s="176" t="s">
        <v>434</v>
      </c>
      <c r="L45" s="168"/>
      <c r="M45" s="168"/>
      <c r="N45" s="168"/>
      <c r="O45" s="168"/>
      <c r="P45" s="168"/>
      <c r="Q45" s="168"/>
      <c r="R45" s="168"/>
      <c r="S45" s="168"/>
      <c r="T45" s="181" t="s">
        <v>323</v>
      </c>
      <c r="U45" s="168" t="s">
        <v>435</v>
      </c>
      <c r="V45" s="117" t="s">
        <v>436</v>
      </c>
      <c r="W45" s="117"/>
      <c r="X45" s="117"/>
      <c r="Y45" s="117"/>
      <c r="Z45" s="117"/>
      <c r="AA45" s="117"/>
    </row>
    <row r="46" ht="219" customHeight="1" spans="1:27">
      <c r="A46" s="165"/>
      <c r="B46" s="14"/>
      <c r="C46" s="158" t="s">
        <v>437</v>
      </c>
      <c r="D46" s="159" t="s">
        <v>438</v>
      </c>
      <c r="E46" s="168"/>
      <c r="F46" s="168" t="s">
        <v>439</v>
      </c>
      <c r="G46" s="168"/>
      <c r="H46" s="168"/>
      <c r="I46" s="168"/>
      <c r="J46" s="168"/>
      <c r="K46" s="176" t="s">
        <v>440</v>
      </c>
      <c r="L46" s="168"/>
      <c r="M46" s="168"/>
      <c r="N46" s="168"/>
      <c r="O46" s="168"/>
      <c r="P46" s="168"/>
      <c r="Q46" s="168"/>
      <c r="R46" s="168"/>
      <c r="S46" s="168"/>
      <c r="T46" s="181" t="s">
        <v>323</v>
      </c>
      <c r="U46" s="168" t="s">
        <v>441</v>
      </c>
      <c r="V46" s="117" t="s">
        <v>442</v>
      </c>
      <c r="W46" s="117"/>
      <c r="X46" s="117"/>
      <c r="Y46" s="117"/>
      <c r="Z46" s="117"/>
      <c r="AA46" s="117"/>
    </row>
    <row r="47" ht="168" customHeight="1" spans="1:27">
      <c r="A47" s="165"/>
      <c r="B47" s="14"/>
      <c r="C47" s="158" t="s">
        <v>443</v>
      </c>
      <c r="D47" s="159" t="s">
        <v>444</v>
      </c>
      <c r="E47" s="168"/>
      <c r="F47" s="168" t="s">
        <v>445</v>
      </c>
      <c r="G47" s="168" t="s">
        <v>371</v>
      </c>
      <c r="H47" s="168"/>
      <c r="I47" s="168"/>
      <c r="J47" s="168"/>
      <c r="K47" s="176" t="s">
        <v>446</v>
      </c>
      <c r="L47" s="168"/>
      <c r="M47" s="168"/>
      <c r="N47" s="168"/>
      <c r="O47" s="168"/>
      <c r="P47" s="168"/>
      <c r="Q47" s="168"/>
      <c r="R47" s="168" t="s">
        <v>447</v>
      </c>
      <c r="S47" s="168"/>
      <c r="T47" s="181" t="s">
        <v>323</v>
      </c>
      <c r="U47" s="168" t="s">
        <v>323</v>
      </c>
      <c r="V47" s="197" t="s">
        <v>448</v>
      </c>
      <c r="W47" s="117"/>
      <c r="X47" s="117"/>
      <c r="Y47" s="117"/>
      <c r="Z47" s="117"/>
      <c r="AA47" s="117"/>
    </row>
    <row r="48" ht="219" customHeight="1" spans="1:22">
      <c r="A48" s="165"/>
      <c r="B48" s="14"/>
      <c r="C48" s="158" t="s">
        <v>449</v>
      </c>
      <c r="D48" s="159" t="s">
        <v>450</v>
      </c>
      <c r="E48" s="168" t="s">
        <v>309</v>
      </c>
      <c r="F48" s="168"/>
      <c r="G48" s="168"/>
      <c r="H48" s="168"/>
      <c r="I48" s="168"/>
      <c r="J48" s="168" t="s">
        <v>451</v>
      </c>
      <c r="K48" s="176" t="s">
        <v>452</v>
      </c>
      <c r="L48" s="168"/>
      <c r="M48" s="168"/>
      <c r="N48" s="168"/>
      <c r="O48" s="168"/>
      <c r="P48" s="168"/>
      <c r="Q48" s="168"/>
      <c r="R48" s="168"/>
      <c r="S48" s="168"/>
      <c r="T48" s="181" t="s">
        <v>453</v>
      </c>
      <c r="U48" s="168" t="s">
        <v>453</v>
      </c>
      <c r="V48" s="168" t="s">
        <v>454</v>
      </c>
    </row>
    <row r="49" ht="269" customHeight="1" spans="1:27">
      <c r="A49" s="165"/>
      <c r="B49" s="14"/>
      <c r="C49" s="166" t="s">
        <v>455</v>
      </c>
      <c r="D49" s="167" t="s">
        <v>456</v>
      </c>
      <c r="E49" s="173" t="s">
        <v>309</v>
      </c>
      <c r="F49" s="173" t="s">
        <v>457</v>
      </c>
      <c r="G49" s="173" t="s">
        <v>310</v>
      </c>
      <c r="H49" s="173" t="s">
        <v>458</v>
      </c>
      <c r="I49" s="173" t="s">
        <v>406</v>
      </c>
      <c r="J49" s="173" t="s">
        <v>181</v>
      </c>
      <c r="K49" s="177" t="s">
        <v>459</v>
      </c>
      <c r="L49" s="173"/>
      <c r="M49" s="173"/>
      <c r="N49" s="173"/>
      <c r="O49" s="173"/>
      <c r="P49" s="173"/>
      <c r="Q49" s="173"/>
      <c r="R49" s="173" t="s">
        <v>460</v>
      </c>
      <c r="S49" s="173"/>
      <c r="T49" s="192" t="s">
        <v>461</v>
      </c>
      <c r="U49" s="173" t="s">
        <v>462</v>
      </c>
      <c r="V49" s="173" t="s">
        <v>463</v>
      </c>
      <c r="W49" s="117"/>
      <c r="X49" s="117"/>
      <c r="Y49" s="117"/>
      <c r="Z49" s="117"/>
      <c r="AA49" s="117"/>
    </row>
    <row r="50" ht="168" customHeight="1" spans="1:27">
      <c r="A50" s="165"/>
      <c r="B50" s="14"/>
      <c r="C50" s="99" t="s">
        <v>464</v>
      </c>
      <c r="D50" s="100" t="s">
        <v>465</v>
      </c>
      <c r="E50" s="173"/>
      <c r="F50" s="173"/>
      <c r="G50" s="173"/>
      <c r="H50" s="173"/>
      <c r="I50" s="173"/>
      <c r="J50" s="173"/>
      <c r="K50" s="177"/>
      <c r="L50" s="173"/>
      <c r="M50" s="173"/>
      <c r="N50" s="173"/>
      <c r="O50" s="173"/>
      <c r="P50" s="173"/>
      <c r="Q50" s="173"/>
      <c r="R50" s="173"/>
      <c r="S50" s="173"/>
      <c r="T50" s="192"/>
      <c r="U50" s="173"/>
      <c r="V50" s="173" t="s">
        <v>466</v>
      </c>
      <c r="W50" s="117"/>
      <c r="X50" s="117"/>
      <c r="Y50" s="117"/>
      <c r="Z50" s="117"/>
      <c r="AA50" s="117"/>
    </row>
    <row r="51" ht="152" customHeight="1" spans="1:27">
      <c r="A51" s="165"/>
      <c r="B51" s="14"/>
      <c r="C51" s="99" t="s">
        <v>467</v>
      </c>
      <c r="D51" s="100" t="s">
        <v>468</v>
      </c>
      <c r="E51" s="173"/>
      <c r="F51" s="173"/>
      <c r="G51" s="173"/>
      <c r="H51" s="173"/>
      <c r="I51" s="173"/>
      <c r="J51" s="173"/>
      <c r="K51" s="177"/>
      <c r="L51" s="173"/>
      <c r="M51" s="173"/>
      <c r="N51" s="173"/>
      <c r="O51" s="173"/>
      <c r="P51" s="173"/>
      <c r="Q51" s="173"/>
      <c r="R51" s="173"/>
      <c r="S51" s="173"/>
      <c r="T51" s="192"/>
      <c r="U51" s="173"/>
      <c r="V51" s="173" t="s">
        <v>469</v>
      </c>
      <c r="W51" s="117"/>
      <c r="X51" s="117"/>
      <c r="Y51" s="117"/>
      <c r="Z51" s="117"/>
      <c r="AA51" s="117"/>
    </row>
    <row r="52" ht="168" customHeight="1" spans="1:27">
      <c r="A52" s="165"/>
      <c r="B52" s="14"/>
      <c r="C52" s="99" t="s">
        <v>470</v>
      </c>
      <c r="D52" s="100" t="s">
        <v>471</v>
      </c>
      <c r="E52" s="173"/>
      <c r="F52" s="173"/>
      <c r="G52" s="173"/>
      <c r="H52" s="173"/>
      <c r="I52" s="173"/>
      <c r="J52" s="173"/>
      <c r="K52" s="177"/>
      <c r="L52" s="173"/>
      <c r="M52" s="173"/>
      <c r="N52" s="173"/>
      <c r="O52" s="173"/>
      <c r="P52" s="173"/>
      <c r="Q52" s="173"/>
      <c r="R52" s="173"/>
      <c r="S52" s="173"/>
      <c r="T52" s="192"/>
      <c r="U52" s="173"/>
      <c r="V52" s="173" t="s">
        <v>472</v>
      </c>
      <c r="W52" s="117"/>
      <c r="X52" s="117"/>
      <c r="Y52" s="117"/>
      <c r="Z52" s="117"/>
      <c r="AA52" s="117"/>
    </row>
    <row r="53" ht="152" customHeight="1" spans="1:27">
      <c r="A53" s="165"/>
      <c r="B53" s="14"/>
      <c r="C53" s="99" t="s">
        <v>473</v>
      </c>
      <c r="D53" s="100" t="s">
        <v>474</v>
      </c>
      <c r="E53" s="173"/>
      <c r="F53" s="173"/>
      <c r="G53" s="173"/>
      <c r="H53" s="173"/>
      <c r="I53" s="173"/>
      <c r="J53" s="173"/>
      <c r="K53" s="177"/>
      <c r="L53" s="173"/>
      <c r="M53" s="173"/>
      <c r="N53" s="173"/>
      <c r="O53" s="173"/>
      <c r="P53" s="173"/>
      <c r="Q53" s="173"/>
      <c r="R53" s="173"/>
      <c r="S53" s="173"/>
      <c r="T53" s="192"/>
      <c r="U53" s="173"/>
      <c r="V53" s="173" t="s">
        <v>475</v>
      </c>
      <c r="W53" s="117"/>
      <c r="X53" s="117"/>
      <c r="Y53" s="117"/>
      <c r="Z53" s="117"/>
      <c r="AA53" s="117"/>
    </row>
    <row r="54" ht="152" customHeight="1" spans="1:27">
      <c r="A54" s="165"/>
      <c r="B54" s="14"/>
      <c r="C54" s="99" t="s">
        <v>476</v>
      </c>
      <c r="D54" s="100" t="s">
        <v>477</v>
      </c>
      <c r="E54" s="173"/>
      <c r="F54" s="173"/>
      <c r="G54" s="173"/>
      <c r="H54" s="173"/>
      <c r="I54" s="173"/>
      <c r="J54" s="173"/>
      <c r="K54" s="177"/>
      <c r="L54" s="173"/>
      <c r="M54" s="173"/>
      <c r="N54" s="173"/>
      <c r="O54" s="173"/>
      <c r="P54" s="173"/>
      <c r="Q54" s="173"/>
      <c r="R54" s="173"/>
      <c r="S54" s="173"/>
      <c r="T54" s="192"/>
      <c r="U54" s="173"/>
      <c r="V54" s="173" t="s">
        <v>478</v>
      </c>
      <c r="W54" s="117"/>
      <c r="X54" s="117"/>
      <c r="Y54" s="117"/>
      <c r="Z54" s="117"/>
      <c r="AA54" s="117"/>
    </row>
    <row r="55" ht="303" customHeight="1" spans="1:22">
      <c r="A55" s="165"/>
      <c r="B55" s="14"/>
      <c r="C55" s="80" t="s">
        <v>479</v>
      </c>
      <c r="D55" s="75" t="s">
        <v>480</v>
      </c>
      <c r="E55" s="168"/>
      <c r="F55" s="168" t="s">
        <v>481</v>
      </c>
      <c r="G55" s="168" t="s">
        <v>310</v>
      </c>
      <c r="H55" s="168" t="s">
        <v>482</v>
      </c>
      <c r="I55" s="168"/>
      <c r="J55" s="168"/>
      <c r="K55" s="176" t="s">
        <v>483</v>
      </c>
      <c r="L55" s="168"/>
      <c r="M55" s="168"/>
      <c r="N55" s="168"/>
      <c r="O55" s="168"/>
      <c r="P55" s="168"/>
      <c r="Q55" s="168"/>
      <c r="R55" s="168" t="s">
        <v>484</v>
      </c>
      <c r="S55" s="168"/>
      <c r="T55" s="193" t="s">
        <v>485</v>
      </c>
      <c r="U55" s="168" t="s">
        <v>486</v>
      </c>
      <c r="V55" s="168" t="s">
        <v>487</v>
      </c>
    </row>
    <row r="56" ht="409.5" customHeight="1" spans="1:27">
      <c r="A56" s="158" t="s">
        <v>488</v>
      </c>
      <c r="B56" s="158" t="s">
        <v>489</v>
      </c>
      <c r="C56" s="158" t="s">
        <v>490</v>
      </c>
      <c r="D56" s="159" t="s">
        <v>491</v>
      </c>
      <c r="E56" s="168"/>
      <c r="F56" s="168" t="s">
        <v>492</v>
      </c>
      <c r="G56" s="168" t="s">
        <v>493</v>
      </c>
      <c r="H56" s="170" t="s">
        <v>494</v>
      </c>
      <c r="I56" s="168" t="s">
        <v>495</v>
      </c>
      <c r="J56" s="168" t="s">
        <v>496</v>
      </c>
      <c r="K56" s="176" t="s">
        <v>497</v>
      </c>
      <c r="L56" s="168"/>
      <c r="M56" s="168"/>
      <c r="N56" s="168"/>
      <c r="O56" s="168"/>
      <c r="P56" s="168"/>
      <c r="Q56" s="168"/>
      <c r="R56" s="168"/>
      <c r="S56" s="168"/>
      <c r="T56" s="194" t="s">
        <v>498</v>
      </c>
      <c r="U56" s="175" t="s">
        <v>499</v>
      </c>
      <c r="V56" s="197" t="s">
        <v>500</v>
      </c>
      <c r="W56" s="117"/>
      <c r="X56" s="117"/>
      <c r="Y56" s="117"/>
      <c r="Z56" s="117"/>
      <c r="AA56" s="117"/>
    </row>
    <row r="57" ht="409.5" customHeight="1" spans="1:27">
      <c r="A57" s="14"/>
      <c r="B57" s="14"/>
      <c r="C57" s="158" t="s">
        <v>501</v>
      </c>
      <c r="D57" s="159" t="s">
        <v>502</v>
      </c>
      <c r="E57" s="168"/>
      <c r="F57" s="168" t="s">
        <v>212</v>
      </c>
      <c r="G57" s="168" t="s">
        <v>493</v>
      </c>
      <c r="H57" s="170" t="s">
        <v>213</v>
      </c>
      <c r="I57" s="168"/>
      <c r="J57" s="168" t="s">
        <v>503</v>
      </c>
      <c r="K57" s="176" t="s">
        <v>504</v>
      </c>
      <c r="L57" s="168"/>
      <c r="M57" s="168"/>
      <c r="N57" s="168"/>
      <c r="O57" s="168"/>
      <c r="P57" s="168"/>
      <c r="Q57" s="168"/>
      <c r="R57" s="168"/>
      <c r="S57" s="168"/>
      <c r="T57" s="194" t="s">
        <v>505</v>
      </c>
      <c r="U57" s="175" t="s">
        <v>506</v>
      </c>
      <c r="V57" s="197" t="s">
        <v>507</v>
      </c>
      <c r="W57" s="117"/>
      <c r="X57" s="117"/>
      <c r="Y57" s="117"/>
      <c r="Z57" s="117"/>
      <c r="AA57" s="117"/>
    </row>
    <row r="58" ht="409.5" customHeight="1" spans="1:27">
      <c r="A58" s="15"/>
      <c r="B58" s="15"/>
      <c r="C58" s="158" t="s">
        <v>508</v>
      </c>
      <c r="D58" s="159" t="s">
        <v>509</v>
      </c>
      <c r="E58" s="168" t="s">
        <v>510</v>
      </c>
      <c r="F58" s="168" t="s">
        <v>511</v>
      </c>
      <c r="G58" s="168" t="s">
        <v>395</v>
      </c>
      <c r="H58" s="170" t="s">
        <v>213</v>
      </c>
      <c r="I58" s="168"/>
      <c r="J58" s="168" t="s">
        <v>512</v>
      </c>
      <c r="K58" s="176" t="s">
        <v>513</v>
      </c>
      <c r="L58" s="168"/>
      <c r="M58" s="168"/>
      <c r="N58" s="168"/>
      <c r="O58" s="168"/>
      <c r="P58" s="168"/>
      <c r="Q58" s="168"/>
      <c r="R58" s="168"/>
      <c r="S58" s="168"/>
      <c r="T58" s="194" t="s">
        <v>514</v>
      </c>
      <c r="U58" s="175" t="s">
        <v>515</v>
      </c>
      <c r="V58" s="197" t="s">
        <v>516</v>
      </c>
      <c r="W58" s="117"/>
      <c r="X58" s="117"/>
      <c r="Y58" s="117"/>
      <c r="Z58" s="117"/>
      <c r="AA58" s="117"/>
    </row>
  </sheetData>
  <mergeCells count="19">
    <mergeCell ref="A2:A6"/>
    <mergeCell ref="A7:A16"/>
    <mergeCell ref="A17:A42"/>
    <mergeCell ref="A56:A58"/>
    <mergeCell ref="B2:B4"/>
    <mergeCell ref="B5:B6"/>
    <mergeCell ref="B7:B8"/>
    <mergeCell ref="B9:B10"/>
    <mergeCell ref="B11:B16"/>
    <mergeCell ref="B17:B19"/>
    <mergeCell ref="B20:B25"/>
    <mergeCell ref="B26:B28"/>
    <mergeCell ref="B29:B30"/>
    <mergeCell ref="B32:B36"/>
    <mergeCell ref="B37:B42"/>
    <mergeCell ref="B43:B55"/>
    <mergeCell ref="B56:B58"/>
    <mergeCell ref="C26:C27"/>
    <mergeCell ref="V22:V23"/>
  </mergeCell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0"/>
  <sheetViews>
    <sheetView zoomScale="53" zoomScaleNormal="53" workbookViewId="0">
      <pane xSplit="4" ySplit="1" topLeftCell="E47" activePane="bottomRight" state="frozen"/>
      <selection/>
      <selection pane="topRight"/>
      <selection pane="bottomLeft"/>
      <selection pane="bottomRight" activeCell="S25" sqref="S25"/>
    </sheetView>
  </sheetViews>
  <sheetFormatPr defaultColWidth="9.16346153846154" defaultRowHeight="16.8"/>
  <cols>
    <col min="1" max="2" width="15.6634615384615" style="62" customWidth="1"/>
    <col min="3" max="3" width="27.1634615384615" style="62" customWidth="1"/>
    <col min="4" max="4" width="25.5" style="62" customWidth="1"/>
    <col min="5" max="19" width="10.6634615384615" style="62" customWidth="1"/>
    <col min="20" max="16384" width="9.16346153846154" style="62" customWidth="1"/>
  </cols>
  <sheetData>
    <row r="1" s="131" customFormat="1" ht="70" customHeight="1" spans="1:19">
      <c r="A1" s="132" t="s">
        <v>0</v>
      </c>
      <c r="B1" s="132" t="s">
        <v>1</v>
      </c>
      <c r="C1" s="132" t="s">
        <v>2</v>
      </c>
      <c r="D1" s="132" t="s">
        <v>3</v>
      </c>
      <c r="E1" s="148" t="s">
        <v>4</v>
      </c>
      <c r="F1" s="148" t="s">
        <v>5</v>
      </c>
      <c r="G1" s="148" t="s">
        <v>517</v>
      </c>
      <c r="H1" s="148" t="s">
        <v>518</v>
      </c>
      <c r="I1" s="148" t="s">
        <v>519</v>
      </c>
      <c r="J1" s="148" t="s">
        <v>520</v>
      </c>
      <c r="K1" s="148" t="s">
        <v>10</v>
      </c>
      <c r="L1" s="148" t="s">
        <v>521</v>
      </c>
      <c r="M1" s="148" t="s">
        <v>12</v>
      </c>
      <c r="N1" s="148" t="s">
        <v>522</v>
      </c>
      <c r="O1" s="148" t="s">
        <v>523</v>
      </c>
      <c r="P1" s="148" t="s">
        <v>524</v>
      </c>
      <c r="Q1" s="148" t="s">
        <v>525</v>
      </c>
      <c r="R1" s="148" t="s">
        <v>526</v>
      </c>
      <c r="S1" s="148" t="s">
        <v>527</v>
      </c>
    </row>
    <row r="2" ht="20" customHeight="1" spans="1:19">
      <c r="A2" s="133" t="s">
        <v>22</v>
      </c>
      <c r="B2" s="133" t="s">
        <v>23</v>
      </c>
      <c r="C2" s="134" t="s">
        <v>24</v>
      </c>
      <c r="D2" s="134" t="s">
        <v>25</v>
      </c>
      <c r="E2" s="149" t="s">
        <v>528</v>
      </c>
      <c r="F2" s="150"/>
      <c r="G2" s="149" t="s">
        <v>528</v>
      </c>
      <c r="H2" s="149" t="s">
        <v>528</v>
      </c>
      <c r="I2" s="150"/>
      <c r="J2" s="150"/>
      <c r="K2" s="150"/>
      <c r="L2" s="149" t="s">
        <v>528</v>
      </c>
      <c r="M2" s="149" t="s">
        <v>528</v>
      </c>
      <c r="N2" s="149" t="s">
        <v>528</v>
      </c>
      <c r="O2" s="149" t="s">
        <v>528</v>
      </c>
      <c r="P2" s="149" t="s">
        <v>528</v>
      </c>
      <c r="Q2" s="149" t="s">
        <v>528</v>
      </c>
      <c r="R2" s="149" t="s">
        <v>528</v>
      </c>
      <c r="S2" s="149" t="s">
        <v>528</v>
      </c>
    </row>
    <row r="3" ht="20" customHeight="1" spans="1:19">
      <c r="A3" s="14"/>
      <c r="B3" s="14"/>
      <c r="C3" s="134" t="s">
        <v>40</v>
      </c>
      <c r="D3" s="134" t="s">
        <v>25</v>
      </c>
      <c r="E3" s="149" t="s">
        <v>528</v>
      </c>
      <c r="F3" s="150"/>
      <c r="G3" s="149" t="s">
        <v>528</v>
      </c>
      <c r="H3" s="149" t="s">
        <v>528</v>
      </c>
      <c r="I3" s="150"/>
      <c r="J3" s="150"/>
      <c r="K3" s="150"/>
      <c r="L3" s="149" t="s">
        <v>528</v>
      </c>
      <c r="M3" s="149" t="s">
        <v>528</v>
      </c>
      <c r="N3" s="149" t="s">
        <v>528</v>
      </c>
      <c r="O3" s="149" t="s">
        <v>528</v>
      </c>
      <c r="P3" s="149" t="s">
        <v>528</v>
      </c>
      <c r="Q3" s="149" t="s">
        <v>528</v>
      </c>
      <c r="R3" s="149" t="s">
        <v>528</v>
      </c>
      <c r="S3" s="149" t="s">
        <v>528</v>
      </c>
    </row>
    <row r="4" ht="20" customHeight="1" spans="1:19">
      <c r="A4" s="14"/>
      <c r="B4" s="15"/>
      <c r="C4" s="135" t="s">
        <v>52</v>
      </c>
      <c r="D4" s="135" t="s">
        <v>53</v>
      </c>
      <c r="E4" s="149" t="s">
        <v>528</v>
      </c>
      <c r="F4" s="150"/>
      <c r="G4" s="149" t="s">
        <v>528</v>
      </c>
      <c r="H4" s="150"/>
      <c r="I4" s="149" t="s">
        <v>528</v>
      </c>
      <c r="J4" s="150"/>
      <c r="K4" s="150"/>
      <c r="L4" s="149" t="s">
        <v>528</v>
      </c>
      <c r="M4" s="149" t="s">
        <v>528</v>
      </c>
      <c r="N4" s="149" t="s">
        <v>528</v>
      </c>
      <c r="O4" s="150"/>
      <c r="P4" s="150"/>
      <c r="Q4" s="149" t="s">
        <v>528</v>
      </c>
      <c r="R4" s="150"/>
      <c r="S4" s="150"/>
    </row>
    <row r="5" ht="20" customHeight="1" spans="1:19">
      <c r="A5" s="14"/>
      <c r="B5" s="133" t="s">
        <v>63</v>
      </c>
      <c r="C5" s="134" t="s">
        <v>64</v>
      </c>
      <c r="D5" s="134" t="s">
        <v>65</v>
      </c>
      <c r="E5" s="149" t="s">
        <v>528</v>
      </c>
      <c r="F5" s="150"/>
      <c r="G5" s="149" t="s">
        <v>528</v>
      </c>
      <c r="H5" s="149" t="s">
        <v>528</v>
      </c>
      <c r="I5" s="149" t="s">
        <v>528</v>
      </c>
      <c r="J5" s="150"/>
      <c r="K5" s="150"/>
      <c r="L5" s="149" t="s">
        <v>528</v>
      </c>
      <c r="M5" s="149" t="s">
        <v>528</v>
      </c>
      <c r="N5" s="149" t="s">
        <v>528</v>
      </c>
      <c r="O5" s="149" t="s">
        <v>528</v>
      </c>
      <c r="P5" s="149" t="s">
        <v>528</v>
      </c>
      <c r="Q5" s="149" t="s">
        <v>528</v>
      </c>
      <c r="R5" s="149" t="s">
        <v>528</v>
      </c>
      <c r="S5" s="149" t="s">
        <v>528</v>
      </c>
    </row>
    <row r="6" ht="20" customHeight="1" spans="1:19">
      <c r="A6" s="15"/>
      <c r="B6" s="15"/>
      <c r="C6" s="135" t="s">
        <v>81</v>
      </c>
      <c r="D6" s="135" t="s">
        <v>529</v>
      </c>
      <c r="E6" s="150"/>
      <c r="F6" s="150"/>
      <c r="G6" s="150"/>
      <c r="H6" s="150"/>
      <c r="I6" s="149" t="s">
        <v>528</v>
      </c>
      <c r="J6" s="150"/>
      <c r="K6" s="150"/>
      <c r="L6" s="150"/>
      <c r="M6" s="150"/>
      <c r="N6" s="150"/>
      <c r="O6" s="150"/>
      <c r="P6" s="150"/>
      <c r="Q6" s="150"/>
      <c r="R6" s="150"/>
      <c r="S6" s="149" t="s">
        <v>528</v>
      </c>
    </row>
    <row r="7" ht="20" customHeight="1" spans="1:19">
      <c r="A7" s="136" t="s">
        <v>530</v>
      </c>
      <c r="B7" s="136" t="s">
        <v>531</v>
      </c>
      <c r="C7" s="137" t="s">
        <v>116</v>
      </c>
      <c r="D7" s="137" t="s">
        <v>117</v>
      </c>
      <c r="E7" s="149" t="s">
        <v>528</v>
      </c>
      <c r="F7" s="150"/>
      <c r="G7" s="149" t="s">
        <v>528</v>
      </c>
      <c r="H7" s="149" t="s">
        <v>528</v>
      </c>
      <c r="I7" s="149" t="s">
        <v>528</v>
      </c>
      <c r="J7" s="150"/>
      <c r="K7" s="150"/>
      <c r="L7" s="149" t="s">
        <v>528</v>
      </c>
      <c r="M7" s="149" t="s">
        <v>528</v>
      </c>
      <c r="N7" s="149" t="s">
        <v>528</v>
      </c>
      <c r="O7" s="150"/>
      <c r="P7" s="149" t="s">
        <v>528</v>
      </c>
      <c r="Q7" s="149" t="s">
        <v>528</v>
      </c>
      <c r="R7" s="150"/>
      <c r="S7" s="149" t="s">
        <v>528</v>
      </c>
    </row>
    <row r="8" ht="20" customHeight="1" spans="1:19">
      <c r="A8" s="14"/>
      <c r="B8" s="136" t="s">
        <v>143</v>
      </c>
      <c r="C8" s="137" t="s">
        <v>144</v>
      </c>
      <c r="D8" s="137" t="s">
        <v>145</v>
      </c>
      <c r="E8" s="150"/>
      <c r="F8" s="150"/>
      <c r="G8" s="149" t="s">
        <v>528</v>
      </c>
      <c r="H8" s="149" t="s">
        <v>528</v>
      </c>
      <c r="I8" s="149" t="s">
        <v>528</v>
      </c>
      <c r="J8" s="150"/>
      <c r="K8" s="150"/>
      <c r="L8" s="149" t="s">
        <v>528</v>
      </c>
      <c r="M8" s="150"/>
      <c r="N8" s="149" t="s">
        <v>528</v>
      </c>
      <c r="O8" s="150"/>
      <c r="P8" s="149" t="s">
        <v>528</v>
      </c>
      <c r="Q8" s="150"/>
      <c r="R8" s="149" t="s">
        <v>528</v>
      </c>
      <c r="S8" s="150"/>
    </row>
    <row r="9" ht="20" customHeight="1" spans="1:19">
      <c r="A9" s="14"/>
      <c r="B9" s="14"/>
      <c r="C9" s="137" t="s">
        <v>155</v>
      </c>
      <c r="D9" s="137" t="s">
        <v>156</v>
      </c>
      <c r="E9" s="150"/>
      <c r="F9" s="150"/>
      <c r="G9" s="149" t="s">
        <v>528</v>
      </c>
      <c r="H9" s="150"/>
      <c r="I9" s="149" t="s">
        <v>528</v>
      </c>
      <c r="J9" s="150"/>
      <c r="K9" s="150"/>
      <c r="L9" s="149" t="s">
        <v>528</v>
      </c>
      <c r="M9" s="149" t="s">
        <v>528</v>
      </c>
      <c r="N9" s="149" t="s">
        <v>528</v>
      </c>
      <c r="O9" s="150"/>
      <c r="P9" s="149" t="s">
        <v>528</v>
      </c>
      <c r="Q9" s="150"/>
      <c r="R9" s="150"/>
      <c r="S9" s="150"/>
    </row>
    <row r="10" ht="20" customHeight="1" spans="1:19">
      <c r="A10" s="14"/>
      <c r="B10" s="14"/>
      <c r="C10" s="137" t="s">
        <v>166</v>
      </c>
      <c r="D10" s="137" t="s">
        <v>167</v>
      </c>
      <c r="E10" s="150"/>
      <c r="F10" s="150"/>
      <c r="G10" s="149" t="s">
        <v>528</v>
      </c>
      <c r="H10" s="149" t="s">
        <v>528</v>
      </c>
      <c r="I10" s="149" t="s">
        <v>528</v>
      </c>
      <c r="J10" s="150"/>
      <c r="K10" s="150"/>
      <c r="L10" s="149" t="s">
        <v>528</v>
      </c>
      <c r="M10" s="150"/>
      <c r="N10" s="149" t="s">
        <v>528</v>
      </c>
      <c r="O10" s="150"/>
      <c r="P10" s="149" t="s">
        <v>528</v>
      </c>
      <c r="Q10" s="150"/>
      <c r="R10" s="150"/>
      <c r="S10" s="150"/>
    </row>
    <row r="11" ht="20" customHeight="1" spans="1:19">
      <c r="A11" s="14"/>
      <c r="B11" s="14"/>
      <c r="C11" s="137" t="s">
        <v>176</v>
      </c>
      <c r="D11" s="137" t="s">
        <v>177</v>
      </c>
      <c r="E11" s="149" t="s">
        <v>528</v>
      </c>
      <c r="F11" s="150"/>
      <c r="G11" s="149" t="s">
        <v>528</v>
      </c>
      <c r="H11" s="149" t="s">
        <v>528</v>
      </c>
      <c r="I11" s="149" t="s">
        <v>528</v>
      </c>
      <c r="J11" s="149" t="s">
        <v>528</v>
      </c>
      <c r="K11" s="150"/>
      <c r="L11" s="150"/>
      <c r="M11" s="150"/>
      <c r="N11" s="150"/>
      <c r="O11" s="150"/>
      <c r="P11" s="150"/>
      <c r="Q11" s="150"/>
      <c r="R11" s="150"/>
      <c r="S11" s="150"/>
    </row>
    <row r="12" ht="20" customHeight="1" spans="1:19">
      <c r="A12" s="14"/>
      <c r="B12" s="14"/>
      <c r="C12" s="138" t="s">
        <v>184</v>
      </c>
      <c r="D12" s="138" t="s">
        <v>185</v>
      </c>
      <c r="E12" s="150"/>
      <c r="F12" s="150"/>
      <c r="G12" s="149" t="s">
        <v>528</v>
      </c>
      <c r="H12" s="150"/>
      <c r="I12" s="149" t="s">
        <v>528</v>
      </c>
      <c r="J12" s="149" t="s">
        <v>528</v>
      </c>
      <c r="K12" s="150"/>
      <c r="L12" s="150"/>
      <c r="M12" s="150"/>
      <c r="N12" s="150"/>
      <c r="O12" s="150"/>
      <c r="P12" s="150"/>
      <c r="Q12" s="150"/>
      <c r="R12" s="149" t="s">
        <v>528</v>
      </c>
      <c r="S12" s="150"/>
    </row>
    <row r="13" ht="20" customHeight="1" spans="1:19">
      <c r="A13" s="15"/>
      <c r="B13" s="15"/>
      <c r="C13" s="138" t="s">
        <v>192</v>
      </c>
      <c r="D13" s="138" t="s">
        <v>193</v>
      </c>
      <c r="E13" s="150"/>
      <c r="F13" s="150"/>
      <c r="G13" s="149" t="s">
        <v>528</v>
      </c>
      <c r="H13" s="150"/>
      <c r="I13" s="149" t="s">
        <v>528</v>
      </c>
      <c r="J13" s="149" t="s">
        <v>528</v>
      </c>
      <c r="K13" s="150"/>
      <c r="L13" s="150"/>
      <c r="M13" s="150"/>
      <c r="N13" s="150"/>
      <c r="O13" s="150"/>
      <c r="P13" s="150"/>
      <c r="Q13" s="150"/>
      <c r="R13" s="150"/>
      <c r="S13" s="150"/>
    </row>
    <row r="14" ht="20" customHeight="1" spans="1:19">
      <c r="A14" s="139" t="s">
        <v>200</v>
      </c>
      <c r="B14" s="139" t="s">
        <v>226</v>
      </c>
      <c r="C14" s="140" t="s">
        <v>227</v>
      </c>
      <c r="D14" s="140" t="s">
        <v>228</v>
      </c>
      <c r="E14" s="150"/>
      <c r="F14" s="150"/>
      <c r="G14" s="149" t="s">
        <v>528</v>
      </c>
      <c r="H14" s="150"/>
      <c r="I14" s="150"/>
      <c r="J14" s="150"/>
      <c r="K14" s="149" t="s">
        <v>528</v>
      </c>
      <c r="L14" s="150"/>
      <c r="M14" s="150"/>
      <c r="N14" s="150"/>
      <c r="O14" s="150"/>
      <c r="P14" s="150"/>
      <c r="Q14" s="150"/>
      <c r="R14" s="150"/>
      <c r="S14" s="150"/>
    </row>
    <row r="15" ht="20" customHeight="1" spans="1:19">
      <c r="A15" s="14"/>
      <c r="B15" s="14"/>
      <c r="C15" s="141" t="s">
        <v>234</v>
      </c>
      <c r="D15" s="141" t="s">
        <v>235</v>
      </c>
      <c r="E15" s="149" t="s">
        <v>528</v>
      </c>
      <c r="F15" s="150"/>
      <c r="G15" s="149" t="s">
        <v>528</v>
      </c>
      <c r="H15" s="149" t="s">
        <v>528</v>
      </c>
      <c r="I15" s="149" t="s">
        <v>528</v>
      </c>
      <c r="J15" s="150"/>
      <c r="K15" s="149" t="s">
        <v>528</v>
      </c>
      <c r="L15" s="149" t="s">
        <v>528</v>
      </c>
      <c r="M15" s="150"/>
      <c r="N15" s="149" t="s">
        <v>528</v>
      </c>
      <c r="O15" s="150"/>
      <c r="P15" s="150"/>
      <c r="Q15" s="150"/>
      <c r="R15" s="149" t="s">
        <v>528</v>
      </c>
      <c r="S15" s="150"/>
    </row>
    <row r="16" ht="20" customHeight="1" spans="1:19">
      <c r="A16" s="14"/>
      <c r="B16" s="14"/>
      <c r="C16" s="141" t="s">
        <v>247</v>
      </c>
      <c r="D16" s="141" t="s">
        <v>248</v>
      </c>
      <c r="E16" s="149" t="s">
        <v>528</v>
      </c>
      <c r="F16" s="150"/>
      <c r="G16" s="149" t="s">
        <v>528</v>
      </c>
      <c r="H16" s="149" t="s">
        <v>528</v>
      </c>
      <c r="I16" s="150"/>
      <c r="J16" s="150"/>
      <c r="K16" s="149" t="s">
        <v>528</v>
      </c>
      <c r="L16" s="149" t="s">
        <v>528</v>
      </c>
      <c r="M16" s="149" t="s">
        <v>528</v>
      </c>
      <c r="N16" s="150"/>
      <c r="O16" s="149" t="s">
        <v>528</v>
      </c>
      <c r="P16" s="149" t="s">
        <v>528</v>
      </c>
      <c r="Q16" s="150"/>
      <c r="R16" s="149" t="s">
        <v>528</v>
      </c>
      <c r="S16" s="150"/>
    </row>
    <row r="17" ht="20" customHeight="1" spans="1:19">
      <c r="A17" s="14"/>
      <c r="B17" s="15"/>
      <c r="C17" s="141" t="s">
        <v>261</v>
      </c>
      <c r="D17" s="141" t="s">
        <v>262</v>
      </c>
      <c r="E17" s="149" t="s">
        <v>528</v>
      </c>
      <c r="F17" s="150"/>
      <c r="G17" s="149" t="s">
        <v>528</v>
      </c>
      <c r="H17" s="150"/>
      <c r="I17" s="150"/>
      <c r="J17" s="150"/>
      <c r="K17" s="150"/>
      <c r="L17" s="150"/>
      <c r="M17" s="149" t="s">
        <v>528</v>
      </c>
      <c r="N17" s="150"/>
      <c r="O17" s="150"/>
      <c r="P17" s="150"/>
      <c r="Q17" s="150"/>
      <c r="R17" s="150"/>
      <c r="S17" s="150"/>
    </row>
    <row r="18" ht="20" customHeight="1" spans="1:19">
      <c r="A18" s="14"/>
      <c r="B18" s="139" t="s">
        <v>532</v>
      </c>
      <c r="C18" s="141" t="s">
        <v>280</v>
      </c>
      <c r="D18" s="141" t="s">
        <v>281</v>
      </c>
      <c r="E18" s="150"/>
      <c r="F18" s="149" t="s">
        <v>528</v>
      </c>
      <c r="G18" s="149" t="s">
        <v>528</v>
      </c>
      <c r="H18" s="149" t="s">
        <v>528</v>
      </c>
      <c r="I18" s="149" t="s">
        <v>528</v>
      </c>
      <c r="J18" s="150"/>
      <c r="K18" s="149" t="s">
        <v>528</v>
      </c>
      <c r="L18" s="150"/>
      <c r="M18" s="149" t="s">
        <v>528</v>
      </c>
      <c r="N18" s="150"/>
      <c r="O18" s="150"/>
      <c r="P18" s="150"/>
      <c r="Q18" s="150"/>
      <c r="R18" s="149" t="s">
        <v>528</v>
      </c>
      <c r="S18" s="150"/>
    </row>
    <row r="19" ht="20" customHeight="1" spans="1:19">
      <c r="A19" s="14"/>
      <c r="B19" s="14"/>
      <c r="C19" s="15"/>
      <c r="D19" s="140" t="s">
        <v>291</v>
      </c>
      <c r="E19" s="150"/>
      <c r="F19" s="151"/>
      <c r="G19" s="149" t="s">
        <v>528</v>
      </c>
      <c r="H19" s="151"/>
      <c r="I19" s="151"/>
      <c r="J19" s="151"/>
      <c r="K19" s="151"/>
      <c r="L19" s="151"/>
      <c r="M19" s="151"/>
      <c r="N19" s="151"/>
      <c r="O19" s="151"/>
      <c r="P19" s="151"/>
      <c r="Q19" s="151"/>
      <c r="R19" s="149" t="s">
        <v>528</v>
      </c>
      <c r="S19" s="151"/>
    </row>
    <row r="20" ht="20" customHeight="1" spans="1:19">
      <c r="A20" s="14"/>
      <c r="B20" s="14"/>
      <c r="C20" s="141" t="s">
        <v>307</v>
      </c>
      <c r="D20" s="141" t="s">
        <v>308</v>
      </c>
      <c r="E20" s="149" t="s">
        <v>528</v>
      </c>
      <c r="F20" s="150"/>
      <c r="G20" s="149" t="s">
        <v>528</v>
      </c>
      <c r="H20" s="149" t="s">
        <v>528</v>
      </c>
      <c r="I20" s="149" t="s">
        <v>528</v>
      </c>
      <c r="J20" s="149" t="s">
        <v>528</v>
      </c>
      <c r="K20" s="150"/>
      <c r="L20" s="150"/>
      <c r="M20" s="150"/>
      <c r="N20" s="150"/>
      <c r="O20" s="150"/>
      <c r="P20" s="150"/>
      <c r="Q20" s="150"/>
      <c r="R20" s="149" t="s">
        <v>528</v>
      </c>
      <c r="S20" s="150"/>
    </row>
    <row r="21" ht="20" customHeight="1" spans="1:19">
      <c r="A21" s="14"/>
      <c r="B21" s="15"/>
      <c r="C21" s="141" t="s">
        <v>327</v>
      </c>
      <c r="D21" s="141" t="s">
        <v>328</v>
      </c>
      <c r="E21" s="149" t="s">
        <v>528</v>
      </c>
      <c r="F21" s="150"/>
      <c r="G21" s="149" t="s">
        <v>528</v>
      </c>
      <c r="H21" s="149" t="s">
        <v>528</v>
      </c>
      <c r="I21" s="149" t="s">
        <v>528</v>
      </c>
      <c r="J21" s="150"/>
      <c r="K21" s="150"/>
      <c r="L21" s="150"/>
      <c r="M21" s="150"/>
      <c r="N21" s="150"/>
      <c r="O21" s="150"/>
      <c r="P21" s="150"/>
      <c r="Q21" s="150"/>
      <c r="R21" s="150"/>
      <c r="S21" s="150"/>
    </row>
    <row r="22" ht="20" customHeight="1" spans="1:19">
      <c r="A22" s="14"/>
      <c r="B22" s="139" t="s">
        <v>336</v>
      </c>
      <c r="C22" s="141" t="s">
        <v>342</v>
      </c>
      <c r="D22" s="141" t="s">
        <v>343</v>
      </c>
      <c r="E22" s="149" t="s">
        <v>528</v>
      </c>
      <c r="F22" s="150"/>
      <c r="G22" s="149" t="s">
        <v>528</v>
      </c>
      <c r="H22" s="149" t="s">
        <v>528</v>
      </c>
      <c r="I22" s="149" t="s">
        <v>528</v>
      </c>
      <c r="J22" s="150"/>
      <c r="K22" s="150"/>
      <c r="L22" s="150"/>
      <c r="M22" s="150"/>
      <c r="N22" s="150"/>
      <c r="O22" s="150"/>
      <c r="P22" s="150"/>
      <c r="Q22" s="149" t="s">
        <v>528</v>
      </c>
      <c r="R22" s="150"/>
      <c r="S22" s="149" t="s">
        <v>528</v>
      </c>
    </row>
    <row r="23" ht="20" customHeight="1" spans="1:19">
      <c r="A23" s="14"/>
      <c r="B23" s="14"/>
      <c r="C23" s="141" t="s">
        <v>351</v>
      </c>
      <c r="D23" s="141" t="s">
        <v>352</v>
      </c>
      <c r="E23" s="149" t="s">
        <v>528</v>
      </c>
      <c r="F23" s="150"/>
      <c r="G23" s="149" t="s">
        <v>528</v>
      </c>
      <c r="H23" s="149" t="s">
        <v>528</v>
      </c>
      <c r="I23" s="149" t="s">
        <v>528</v>
      </c>
      <c r="J23" s="150"/>
      <c r="K23" s="150"/>
      <c r="L23" s="150"/>
      <c r="M23" s="150"/>
      <c r="N23" s="150"/>
      <c r="O23" s="150"/>
      <c r="P23" s="150"/>
      <c r="Q23" s="149" t="s">
        <v>528</v>
      </c>
      <c r="R23" s="150"/>
      <c r="S23" s="150"/>
    </row>
    <row r="24" ht="20" customHeight="1" spans="1:19">
      <c r="A24" s="14"/>
      <c r="B24" s="14"/>
      <c r="C24" s="140" t="s">
        <v>358</v>
      </c>
      <c r="D24" s="140" t="s">
        <v>359</v>
      </c>
      <c r="E24" s="149" t="s">
        <v>528</v>
      </c>
      <c r="F24" s="150"/>
      <c r="G24" s="149" t="s">
        <v>528</v>
      </c>
      <c r="H24" s="149" t="s">
        <v>528</v>
      </c>
      <c r="I24" s="149" t="s">
        <v>528</v>
      </c>
      <c r="J24" s="150"/>
      <c r="K24" s="150"/>
      <c r="L24" s="150"/>
      <c r="M24" s="150"/>
      <c r="N24" s="150"/>
      <c r="O24" s="150"/>
      <c r="P24" s="150"/>
      <c r="Q24" s="150"/>
      <c r="R24" s="150"/>
      <c r="S24" s="150"/>
    </row>
    <row r="25" ht="20" customHeight="1" spans="1:19">
      <c r="A25" s="14"/>
      <c r="B25" s="15"/>
      <c r="C25" s="140" t="s">
        <v>363</v>
      </c>
      <c r="D25" s="140" t="s">
        <v>364</v>
      </c>
      <c r="E25" s="149" t="s">
        <v>528</v>
      </c>
      <c r="F25" s="150"/>
      <c r="G25" s="149" t="s">
        <v>528</v>
      </c>
      <c r="H25" s="149" t="s">
        <v>528</v>
      </c>
      <c r="I25" s="150"/>
      <c r="J25" s="150"/>
      <c r="K25" s="150"/>
      <c r="L25" s="150"/>
      <c r="M25" s="150"/>
      <c r="N25" s="150"/>
      <c r="O25" s="150"/>
      <c r="P25" s="150"/>
      <c r="Q25" s="150"/>
      <c r="R25" s="150"/>
      <c r="S25" s="150"/>
    </row>
    <row r="26" ht="20" customHeight="1" spans="1:19">
      <c r="A26" s="14"/>
      <c r="B26" s="139" t="s">
        <v>368</v>
      </c>
      <c r="C26" s="140" t="s">
        <v>369</v>
      </c>
      <c r="D26" s="140" t="s">
        <v>370</v>
      </c>
      <c r="E26" s="150"/>
      <c r="F26" s="150"/>
      <c r="G26" s="149" t="s">
        <v>528</v>
      </c>
      <c r="H26" s="149" t="s">
        <v>528</v>
      </c>
      <c r="I26" s="149" t="s">
        <v>528</v>
      </c>
      <c r="J26" s="149" t="s">
        <v>528</v>
      </c>
      <c r="K26" s="149" t="s">
        <v>528</v>
      </c>
      <c r="L26" s="150"/>
      <c r="M26" s="150"/>
      <c r="N26" s="150"/>
      <c r="O26" s="150"/>
      <c r="P26" s="150"/>
      <c r="Q26" s="150"/>
      <c r="R26" s="150"/>
      <c r="S26" s="150"/>
    </row>
    <row r="27" ht="20" customHeight="1" spans="1:19">
      <c r="A27" s="14"/>
      <c r="B27" s="14"/>
      <c r="C27" s="141" t="s">
        <v>391</v>
      </c>
      <c r="D27" s="141" t="s">
        <v>392</v>
      </c>
      <c r="E27" s="149" t="s">
        <v>528</v>
      </c>
      <c r="F27" s="149" t="s">
        <v>528</v>
      </c>
      <c r="G27" s="149" t="s">
        <v>528</v>
      </c>
      <c r="H27" s="149" t="s">
        <v>528</v>
      </c>
      <c r="I27" s="149" t="s">
        <v>528</v>
      </c>
      <c r="J27" s="150"/>
      <c r="K27" s="149" t="s">
        <v>528</v>
      </c>
      <c r="L27" s="150"/>
      <c r="M27" s="149" t="s">
        <v>528</v>
      </c>
      <c r="N27" s="149" t="s">
        <v>528</v>
      </c>
      <c r="O27" s="149" t="s">
        <v>528</v>
      </c>
      <c r="P27" s="150"/>
      <c r="Q27" s="150"/>
      <c r="R27" s="150"/>
      <c r="S27" s="150"/>
    </row>
    <row r="28" ht="20" customHeight="1" spans="1:19">
      <c r="A28" s="14"/>
      <c r="B28" s="15"/>
      <c r="C28" s="140" t="s">
        <v>404</v>
      </c>
      <c r="D28" s="140" t="s">
        <v>405</v>
      </c>
      <c r="E28" s="149" t="s">
        <v>528</v>
      </c>
      <c r="F28" s="150"/>
      <c r="G28" s="150"/>
      <c r="H28" s="149" t="s">
        <v>528</v>
      </c>
      <c r="I28" s="149" t="s">
        <v>528</v>
      </c>
      <c r="J28" s="150"/>
      <c r="K28" s="150"/>
      <c r="L28" s="150"/>
      <c r="M28" s="150"/>
      <c r="N28" s="150"/>
      <c r="O28" s="150"/>
      <c r="P28" s="150"/>
      <c r="Q28" s="150"/>
      <c r="R28" s="150"/>
      <c r="S28" s="150"/>
    </row>
    <row r="29" ht="18" customHeight="1" spans="1:19">
      <c r="A29" s="14"/>
      <c r="B29" s="139" t="s">
        <v>420</v>
      </c>
      <c r="C29" s="142" t="s">
        <v>455</v>
      </c>
      <c r="D29" s="142" t="s">
        <v>456</v>
      </c>
      <c r="E29" s="152" t="s">
        <v>528</v>
      </c>
      <c r="F29" s="152" t="s">
        <v>528</v>
      </c>
      <c r="G29" s="152" t="s">
        <v>528</v>
      </c>
      <c r="H29" s="152" t="s">
        <v>528</v>
      </c>
      <c r="I29" s="152" t="s">
        <v>528</v>
      </c>
      <c r="J29" s="152" t="s">
        <v>528</v>
      </c>
      <c r="K29" s="152" t="s">
        <v>528</v>
      </c>
      <c r="L29" s="153"/>
      <c r="M29" s="153"/>
      <c r="N29" s="153"/>
      <c r="O29" s="153"/>
      <c r="P29" s="153"/>
      <c r="Q29" s="153"/>
      <c r="R29" s="152" t="s">
        <v>528</v>
      </c>
      <c r="S29" s="151"/>
    </row>
    <row r="30" ht="17.6" customHeight="1" spans="1:19">
      <c r="A30" s="14"/>
      <c r="B30" s="14"/>
      <c r="C30" s="142" t="s">
        <v>464</v>
      </c>
      <c r="D30" s="142" t="s">
        <v>465</v>
      </c>
      <c r="E30" s="153"/>
      <c r="F30" s="152" t="s">
        <v>528</v>
      </c>
      <c r="G30" s="152" t="s">
        <v>528</v>
      </c>
      <c r="H30" s="152" t="s">
        <v>528</v>
      </c>
      <c r="I30" s="153"/>
      <c r="J30" s="153"/>
      <c r="K30" s="152" t="s">
        <v>528</v>
      </c>
      <c r="L30" s="153"/>
      <c r="M30" s="153"/>
      <c r="N30" s="153"/>
      <c r="O30" s="153"/>
      <c r="P30" s="153"/>
      <c r="Q30" s="153"/>
      <c r="R30" s="152" t="s">
        <v>528</v>
      </c>
      <c r="S30" s="151"/>
    </row>
    <row r="31" ht="17.6" customHeight="1" spans="1:19">
      <c r="A31" s="14"/>
      <c r="B31" s="14"/>
      <c r="C31" s="142" t="s">
        <v>467</v>
      </c>
      <c r="D31" s="142" t="s">
        <v>468</v>
      </c>
      <c r="E31" s="153"/>
      <c r="F31" s="152" t="s">
        <v>528</v>
      </c>
      <c r="G31" s="152" t="s">
        <v>528</v>
      </c>
      <c r="H31" s="152" t="s">
        <v>528</v>
      </c>
      <c r="I31" s="153"/>
      <c r="J31" s="153"/>
      <c r="K31" s="152" t="s">
        <v>528</v>
      </c>
      <c r="L31" s="153"/>
      <c r="M31" s="153"/>
      <c r="N31" s="153"/>
      <c r="O31" s="153"/>
      <c r="P31" s="153"/>
      <c r="Q31" s="153"/>
      <c r="R31" s="152" t="s">
        <v>528</v>
      </c>
      <c r="S31" s="151"/>
    </row>
    <row r="32" ht="17.6" customHeight="1" spans="1:19">
      <c r="A32" s="14"/>
      <c r="B32" s="14"/>
      <c r="C32" s="142" t="s">
        <v>470</v>
      </c>
      <c r="D32" s="142" t="s">
        <v>471</v>
      </c>
      <c r="E32" s="153"/>
      <c r="F32" s="152" t="s">
        <v>528</v>
      </c>
      <c r="G32" s="152" t="s">
        <v>528</v>
      </c>
      <c r="H32" s="152" t="s">
        <v>528</v>
      </c>
      <c r="I32" s="153"/>
      <c r="J32" s="153"/>
      <c r="K32" s="152" t="s">
        <v>528</v>
      </c>
      <c r="L32" s="153"/>
      <c r="M32" s="153"/>
      <c r="N32" s="153"/>
      <c r="O32" s="153"/>
      <c r="P32" s="153"/>
      <c r="Q32" s="153"/>
      <c r="R32" s="152" t="s">
        <v>528</v>
      </c>
      <c r="S32" s="151"/>
    </row>
    <row r="33" ht="17.6" customHeight="1" spans="1:19">
      <c r="A33" s="14"/>
      <c r="B33" s="14"/>
      <c r="C33" s="142" t="s">
        <v>473</v>
      </c>
      <c r="D33" s="142" t="s">
        <v>474</v>
      </c>
      <c r="E33" s="153"/>
      <c r="F33" s="152" t="s">
        <v>528</v>
      </c>
      <c r="G33" s="152" t="s">
        <v>528</v>
      </c>
      <c r="H33" s="152" t="s">
        <v>528</v>
      </c>
      <c r="I33" s="153"/>
      <c r="J33" s="153"/>
      <c r="K33" s="152" t="s">
        <v>528</v>
      </c>
      <c r="L33" s="153"/>
      <c r="M33" s="153"/>
      <c r="N33" s="153"/>
      <c r="O33" s="153"/>
      <c r="P33" s="153"/>
      <c r="Q33" s="153"/>
      <c r="R33" s="152" t="s">
        <v>528</v>
      </c>
      <c r="S33" s="151"/>
    </row>
    <row r="34" ht="17.6" customHeight="1" spans="1:19">
      <c r="A34" s="14"/>
      <c r="B34" s="14"/>
      <c r="C34" s="142" t="s">
        <v>476</v>
      </c>
      <c r="D34" s="142" t="s">
        <v>477</v>
      </c>
      <c r="E34" s="153"/>
      <c r="F34" s="152" t="s">
        <v>528</v>
      </c>
      <c r="G34" s="152" t="s">
        <v>528</v>
      </c>
      <c r="H34" s="152" t="s">
        <v>528</v>
      </c>
      <c r="I34" s="153"/>
      <c r="J34" s="153"/>
      <c r="K34" s="152" t="s">
        <v>528</v>
      </c>
      <c r="L34" s="153"/>
      <c r="M34" s="153"/>
      <c r="N34" s="153"/>
      <c r="O34" s="153"/>
      <c r="P34" s="153"/>
      <c r="Q34" s="153"/>
      <c r="R34" s="152" t="s">
        <v>528</v>
      </c>
      <c r="S34" s="151"/>
    </row>
    <row r="35" ht="17.6" customHeight="1" spans="1:19">
      <c r="A35" s="15"/>
      <c r="B35" s="15"/>
      <c r="C35" s="142" t="s">
        <v>479</v>
      </c>
      <c r="D35" s="142" t="s">
        <v>480</v>
      </c>
      <c r="E35" s="153"/>
      <c r="F35" s="152" t="s">
        <v>528</v>
      </c>
      <c r="G35" s="152" t="s">
        <v>528</v>
      </c>
      <c r="H35" s="152" t="s">
        <v>528</v>
      </c>
      <c r="I35" s="153"/>
      <c r="J35" s="153"/>
      <c r="K35" s="152" t="s">
        <v>528</v>
      </c>
      <c r="L35" s="153"/>
      <c r="M35" s="153"/>
      <c r="N35" s="153"/>
      <c r="O35" s="153"/>
      <c r="P35" s="153"/>
      <c r="Q35" s="153"/>
      <c r="R35" s="152" t="s">
        <v>528</v>
      </c>
      <c r="S35" s="151"/>
    </row>
    <row r="36" ht="17.6" customHeight="1" spans="1:19">
      <c r="A36" s="143" t="s">
        <v>533</v>
      </c>
      <c r="B36" s="20"/>
      <c r="C36" s="20"/>
      <c r="D36" s="22"/>
      <c r="E36" s="151"/>
      <c r="F36" s="151"/>
      <c r="G36" s="151"/>
      <c r="H36" s="151"/>
      <c r="I36" s="151"/>
      <c r="J36" s="151"/>
      <c r="K36" s="151"/>
      <c r="L36" s="151"/>
      <c r="M36" s="151"/>
      <c r="N36" s="151"/>
      <c r="O36" s="151"/>
      <c r="P36" s="151"/>
      <c r="Q36" s="151"/>
      <c r="R36" s="151"/>
      <c r="S36" s="151"/>
    </row>
    <row r="37" ht="18" customHeight="1" spans="1:19">
      <c r="A37" s="144" t="s">
        <v>0</v>
      </c>
      <c r="B37" s="144" t="s">
        <v>1</v>
      </c>
      <c r="C37" s="144" t="s">
        <v>2</v>
      </c>
      <c r="D37" s="144" t="s">
        <v>3</v>
      </c>
      <c r="E37" s="151"/>
      <c r="F37" s="151"/>
      <c r="G37" s="151"/>
      <c r="H37" s="151"/>
      <c r="I37" s="151"/>
      <c r="J37" s="151"/>
      <c r="K37" s="151"/>
      <c r="L37" s="151"/>
      <c r="M37" s="151"/>
      <c r="N37" s="151"/>
      <c r="O37" s="151"/>
      <c r="P37" s="151"/>
      <c r="Q37" s="151"/>
      <c r="R37" s="151"/>
      <c r="S37" s="151"/>
    </row>
    <row r="38" ht="17.6" customHeight="1" spans="1:19">
      <c r="A38" s="145" t="s">
        <v>530</v>
      </c>
      <c r="B38" s="146" t="s">
        <v>534</v>
      </c>
      <c r="C38" s="146" t="s">
        <v>90</v>
      </c>
      <c r="D38" s="146" t="s">
        <v>91</v>
      </c>
      <c r="E38" s="154" t="s">
        <v>528</v>
      </c>
      <c r="F38" s="151"/>
      <c r="G38" s="154" t="s">
        <v>528</v>
      </c>
      <c r="H38" s="151"/>
      <c r="I38" s="154" t="s">
        <v>528</v>
      </c>
      <c r="J38" s="151"/>
      <c r="K38" s="151"/>
      <c r="L38" s="154" t="s">
        <v>528</v>
      </c>
      <c r="M38" s="151"/>
      <c r="N38" s="154" t="s">
        <v>528</v>
      </c>
      <c r="O38" s="154" t="s">
        <v>528</v>
      </c>
      <c r="P38" s="151"/>
      <c r="Q38" s="154" t="s">
        <v>528</v>
      </c>
      <c r="R38" s="151"/>
      <c r="S38" s="154" t="s">
        <v>528</v>
      </c>
    </row>
    <row r="39" ht="17.6" customHeight="1" spans="1:19">
      <c r="A39" s="14"/>
      <c r="B39" s="15"/>
      <c r="C39" s="146" t="s">
        <v>103</v>
      </c>
      <c r="D39" s="146" t="s">
        <v>104</v>
      </c>
      <c r="E39" s="154" t="s">
        <v>528</v>
      </c>
      <c r="F39" s="151"/>
      <c r="G39" s="154" t="s">
        <v>528</v>
      </c>
      <c r="H39" s="151"/>
      <c r="I39" s="154" t="s">
        <v>528</v>
      </c>
      <c r="J39" s="151"/>
      <c r="K39" s="151"/>
      <c r="L39" s="154" t="s">
        <v>528</v>
      </c>
      <c r="M39" s="151"/>
      <c r="N39" s="151"/>
      <c r="O39" s="151"/>
      <c r="P39" s="151"/>
      <c r="Q39" s="154" t="s">
        <v>528</v>
      </c>
      <c r="R39" s="154" t="s">
        <v>528</v>
      </c>
      <c r="S39" s="154" t="s">
        <v>528</v>
      </c>
    </row>
    <row r="40" ht="17.6" customHeight="1" spans="1:19">
      <c r="A40" s="15"/>
      <c r="B40" s="146" t="s">
        <v>531</v>
      </c>
      <c r="C40" s="146" t="s">
        <v>131</v>
      </c>
      <c r="D40" s="146" t="s">
        <v>132</v>
      </c>
      <c r="E40" s="154" t="s">
        <v>528</v>
      </c>
      <c r="F40" s="151"/>
      <c r="G40" s="154" t="s">
        <v>528</v>
      </c>
      <c r="H40" s="151"/>
      <c r="I40" s="151"/>
      <c r="J40" s="151"/>
      <c r="K40" s="151"/>
      <c r="L40" s="154" t="s">
        <v>528</v>
      </c>
      <c r="M40" s="151"/>
      <c r="N40" s="154" t="s">
        <v>528</v>
      </c>
      <c r="O40" s="154" t="s">
        <v>528</v>
      </c>
      <c r="P40" s="154" t="s">
        <v>528</v>
      </c>
      <c r="Q40" s="154" t="s">
        <v>528</v>
      </c>
      <c r="R40" s="151"/>
      <c r="S40" s="154" t="s">
        <v>528</v>
      </c>
    </row>
    <row r="41" ht="18" customHeight="1" spans="1:19">
      <c r="A41" s="146" t="s">
        <v>200</v>
      </c>
      <c r="B41" s="146" t="s">
        <v>201</v>
      </c>
      <c r="C41" s="146" t="s">
        <v>218</v>
      </c>
      <c r="D41" s="146" t="s">
        <v>219</v>
      </c>
      <c r="E41" s="151"/>
      <c r="F41" s="151"/>
      <c r="G41" s="151"/>
      <c r="H41" s="151"/>
      <c r="I41" s="151"/>
      <c r="J41" s="151"/>
      <c r="K41" s="151"/>
      <c r="L41" s="149" t="s">
        <v>528</v>
      </c>
      <c r="M41" s="154" t="s">
        <v>528</v>
      </c>
      <c r="N41" s="154" t="s">
        <v>528</v>
      </c>
      <c r="O41" s="151"/>
      <c r="P41" s="151"/>
      <c r="Q41" s="151"/>
      <c r="R41" s="151"/>
      <c r="S41" s="151"/>
    </row>
    <row r="42" ht="18" customHeight="1" spans="1:19">
      <c r="A42" s="14"/>
      <c r="B42" s="14"/>
      <c r="C42" s="146" t="s">
        <v>202</v>
      </c>
      <c r="D42" s="146" t="s">
        <v>203</v>
      </c>
      <c r="E42" s="150"/>
      <c r="F42" s="150"/>
      <c r="G42" s="149" t="s">
        <v>528</v>
      </c>
      <c r="H42" s="149" t="s">
        <v>528</v>
      </c>
      <c r="I42" s="150"/>
      <c r="J42" s="150"/>
      <c r="K42" s="150"/>
      <c r="L42" s="150"/>
      <c r="M42" s="150"/>
      <c r="N42" s="150"/>
      <c r="O42" s="150"/>
      <c r="P42" s="149" t="s">
        <v>528</v>
      </c>
      <c r="Q42" s="150"/>
      <c r="R42" s="150"/>
      <c r="S42" s="150"/>
    </row>
    <row r="43" ht="18" customHeight="1" spans="1:19">
      <c r="A43" s="14"/>
      <c r="B43" s="15"/>
      <c r="C43" s="146" t="s">
        <v>210</v>
      </c>
      <c r="D43" s="146" t="s">
        <v>211</v>
      </c>
      <c r="E43" s="150"/>
      <c r="F43" s="149" t="s">
        <v>528</v>
      </c>
      <c r="G43" s="150"/>
      <c r="H43" s="150"/>
      <c r="I43" s="150"/>
      <c r="J43" s="150"/>
      <c r="K43" s="149" t="s">
        <v>528</v>
      </c>
      <c r="L43" s="150"/>
      <c r="M43" s="150"/>
      <c r="N43" s="150"/>
      <c r="O43" s="150"/>
      <c r="P43" s="150"/>
      <c r="Q43" s="150"/>
      <c r="R43" s="150"/>
      <c r="S43" s="151"/>
    </row>
    <row r="44" ht="17.6" customHeight="1" spans="1:19">
      <c r="A44" s="14"/>
      <c r="B44" s="146" t="s">
        <v>226</v>
      </c>
      <c r="C44" s="146" t="s">
        <v>265</v>
      </c>
      <c r="D44" s="146" t="s">
        <v>266</v>
      </c>
      <c r="E44" s="151"/>
      <c r="F44" s="151"/>
      <c r="G44" s="154" t="s">
        <v>528</v>
      </c>
      <c r="H44" s="151"/>
      <c r="I44" s="154" t="s">
        <v>528</v>
      </c>
      <c r="J44" s="151"/>
      <c r="K44" s="151"/>
      <c r="L44" s="151"/>
      <c r="M44" s="151"/>
      <c r="N44" s="151"/>
      <c r="O44" s="151"/>
      <c r="P44" s="151"/>
      <c r="Q44" s="151"/>
      <c r="R44" s="151"/>
      <c r="S44" s="151"/>
    </row>
    <row r="45" ht="17.6" customHeight="1" spans="1:19">
      <c r="A45" s="14"/>
      <c r="B45" s="15"/>
      <c r="C45" s="146" t="s">
        <v>271</v>
      </c>
      <c r="D45" s="146" t="s">
        <v>272</v>
      </c>
      <c r="E45" s="151"/>
      <c r="F45" s="151"/>
      <c r="G45" s="154" t="s">
        <v>528</v>
      </c>
      <c r="H45" s="154" t="s">
        <v>528</v>
      </c>
      <c r="I45" s="154" t="s">
        <v>528</v>
      </c>
      <c r="J45" s="151"/>
      <c r="K45" s="151"/>
      <c r="L45" s="151"/>
      <c r="M45" s="151"/>
      <c r="N45" s="151"/>
      <c r="O45" s="154" t="s">
        <v>528</v>
      </c>
      <c r="P45" s="151"/>
      <c r="Q45" s="151"/>
      <c r="R45" s="154" t="s">
        <v>528</v>
      </c>
      <c r="S45" s="151"/>
    </row>
    <row r="46" ht="17.6" customHeight="1" spans="1:19">
      <c r="A46" s="14"/>
      <c r="B46" s="146" t="s">
        <v>279</v>
      </c>
      <c r="C46" s="146" t="s">
        <v>535</v>
      </c>
      <c r="D46" s="146" t="s">
        <v>299</v>
      </c>
      <c r="E46" s="151"/>
      <c r="F46" s="154" t="s">
        <v>528</v>
      </c>
      <c r="G46" s="154" t="s">
        <v>528</v>
      </c>
      <c r="H46" s="154" t="s">
        <v>528</v>
      </c>
      <c r="I46" s="151"/>
      <c r="J46" s="154" t="s">
        <v>528</v>
      </c>
      <c r="K46" s="154" t="s">
        <v>528</v>
      </c>
      <c r="L46" s="151"/>
      <c r="M46" s="151"/>
      <c r="N46" s="151"/>
      <c r="O46" s="151"/>
      <c r="P46" s="151"/>
      <c r="Q46" s="151"/>
      <c r="R46" s="154" t="s">
        <v>528</v>
      </c>
      <c r="S46" s="151"/>
    </row>
    <row r="47" ht="17.6" customHeight="1" spans="1:19">
      <c r="A47" s="14"/>
      <c r="B47" s="146" t="s">
        <v>420</v>
      </c>
      <c r="C47" s="146" t="s">
        <v>421</v>
      </c>
      <c r="D47" s="146" t="s">
        <v>422</v>
      </c>
      <c r="E47" s="151"/>
      <c r="F47" s="154" t="s">
        <v>528</v>
      </c>
      <c r="G47" s="154" t="s">
        <v>528</v>
      </c>
      <c r="H47" s="154" t="s">
        <v>528</v>
      </c>
      <c r="I47" s="151"/>
      <c r="J47" s="151"/>
      <c r="K47" s="154" t="s">
        <v>528</v>
      </c>
      <c r="L47" s="151"/>
      <c r="M47" s="151"/>
      <c r="N47" s="151"/>
      <c r="O47" s="151"/>
      <c r="P47" s="151"/>
      <c r="Q47" s="151"/>
      <c r="R47" s="154" t="s">
        <v>528</v>
      </c>
      <c r="S47" s="151"/>
    </row>
    <row r="48" ht="17.6" customHeight="1" spans="1:19">
      <c r="A48" s="14"/>
      <c r="B48" s="14"/>
      <c r="C48" s="146" t="s">
        <v>427</v>
      </c>
      <c r="D48" s="146" t="s">
        <v>428</v>
      </c>
      <c r="E48" s="151"/>
      <c r="F48" s="154" t="s">
        <v>528</v>
      </c>
      <c r="G48" s="154" t="s">
        <v>528</v>
      </c>
      <c r="H48" s="154" t="s">
        <v>528</v>
      </c>
      <c r="I48" s="151"/>
      <c r="J48" s="151"/>
      <c r="K48" s="154" t="s">
        <v>528</v>
      </c>
      <c r="L48" s="151"/>
      <c r="M48" s="151"/>
      <c r="N48" s="151"/>
      <c r="O48" s="151"/>
      <c r="P48" s="151"/>
      <c r="Q48" s="151"/>
      <c r="R48" s="151"/>
      <c r="S48" s="151"/>
    </row>
    <row r="49" ht="17.6" customHeight="1" spans="1:19">
      <c r="A49" s="14"/>
      <c r="B49" s="14"/>
      <c r="C49" s="146" t="s">
        <v>431</v>
      </c>
      <c r="D49" s="146" t="s">
        <v>432</v>
      </c>
      <c r="E49" s="151"/>
      <c r="F49" s="154" t="s">
        <v>528</v>
      </c>
      <c r="G49" s="154" t="s">
        <v>528</v>
      </c>
      <c r="H49" s="154" t="s">
        <v>528</v>
      </c>
      <c r="I49" s="151"/>
      <c r="J49" s="151"/>
      <c r="K49" s="154" t="s">
        <v>528</v>
      </c>
      <c r="L49" s="151"/>
      <c r="M49" s="151"/>
      <c r="N49" s="151"/>
      <c r="O49" s="151"/>
      <c r="P49" s="151"/>
      <c r="Q49" s="151"/>
      <c r="R49" s="151"/>
      <c r="S49" s="151"/>
    </row>
    <row r="50" ht="17.6" customHeight="1" spans="1:19">
      <c r="A50" s="14"/>
      <c r="B50" s="14"/>
      <c r="C50" s="146" t="s">
        <v>437</v>
      </c>
      <c r="D50" s="146" t="s">
        <v>438</v>
      </c>
      <c r="E50" s="151"/>
      <c r="F50" s="154" t="s">
        <v>528</v>
      </c>
      <c r="G50" s="154" t="s">
        <v>528</v>
      </c>
      <c r="H50" s="154" t="s">
        <v>528</v>
      </c>
      <c r="I50" s="151"/>
      <c r="J50" s="151"/>
      <c r="K50" s="154" t="s">
        <v>528</v>
      </c>
      <c r="L50" s="151"/>
      <c r="M50" s="151"/>
      <c r="N50" s="151"/>
      <c r="O50" s="151"/>
      <c r="P50" s="151"/>
      <c r="Q50" s="151"/>
      <c r="R50" s="151"/>
      <c r="S50" s="151"/>
    </row>
    <row r="51" ht="17.6" customHeight="1" spans="1:19">
      <c r="A51" s="14"/>
      <c r="B51" s="14"/>
      <c r="C51" s="146" t="s">
        <v>443</v>
      </c>
      <c r="D51" s="146" t="s">
        <v>444</v>
      </c>
      <c r="E51" s="151"/>
      <c r="F51" s="154" t="s">
        <v>528</v>
      </c>
      <c r="G51" s="154" t="s">
        <v>528</v>
      </c>
      <c r="H51" s="154" t="s">
        <v>528</v>
      </c>
      <c r="I51" s="151"/>
      <c r="J51" s="154" t="s">
        <v>528</v>
      </c>
      <c r="K51" s="154" t="s">
        <v>528</v>
      </c>
      <c r="L51" s="151"/>
      <c r="M51" s="151"/>
      <c r="N51" s="151"/>
      <c r="O51" s="151"/>
      <c r="P51" s="151"/>
      <c r="Q51" s="151"/>
      <c r="R51" s="154" t="s">
        <v>528</v>
      </c>
      <c r="S51" s="151"/>
    </row>
    <row r="52" ht="17.6" customHeight="1" spans="1:19">
      <c r="A52" s="14"/>
      <c r="B52" s="14"/>
      <c r="C52" s="146" t="s">
        <v>449</v>
      </c>
      <c r="D52" s="146" t="s">
        <v>450</v>
      </c>
      <c r="E52" s="154" t="s">
        <v>528</v>
      </c>
      <c r="F52" s="151"/>
      <c r="G52" s="151"/>
      <c r="H52" s="151"/>
      <c r="I52" s="151"/>
      <c r="J52" s="154" t="s">
        <v>528</v>
      </c>
      <c r="K52" s="154" t="s">
        <v>528</v>
      </c>
      <c r="L52" s="151"/>
      <c r="M52" s="151"/>
      <c r="N52" s="151"/>
      <c r="O52" s="151"/>
      <c r="P52" s="151"/>
      <c r="Q52" s="151"/>
      <c r="R52" s="151"/>
      <c r="S52" s="151"/>
    </row>
    <row r="53" ht="18" customHeight="1" spans="1:19">
      <c r="A53" s="14"/>
      <c r="B53" s="15"/>
      <c r="C53" s="146" t="s">
        <v>455</v>
      </c>
      <c r="D53" s="146" t="s">
        <v>456</v>
      </c>
      <c r="E53" s="154" t="s">
        <v>528</v>
      </c>
      <c r="F53" s="154" t="s">
        <v>528</v>
      </c>
      <c r="G53" s="154" t="s">
        <v>528</v>
      </c>
      <c r="H53" s="154" t="s">
        <v>528</v>
      </c>
      <c r="I53" s="154" t="s">
        <v>528</v>
      </c>
      <c r="J53" s="154" t="s">
        <v>528</v>
      </c>
      <c r="K53" s="154" t="s">
        <v>528</v>
      </c>
      <c r="L53" s="151"/>
      <c r="M53" s="151"/>
      <c r="N53" s="151"/>
      <c r="O53" s="151"/>
      <c r="P53" s="151"/>
      <c r="Q53" s="151"/>
      <c r="R53" s="154" t="s">
        <v>528</v>
      </c>
      <c r="S53" s="151"/>
    </row>
    <row r="54" ht="17.6" customHeight="1" spans="1:19">
      <c r="A54" s="14"/>
      <c r="B54" s="146" t="s">
        <v>306</v>
      </c>
      <c r="C54" s="146" t="s">
        <v>319</v>
      </c>
      <c r="D54" s="146" t="s">
        <v>320</v>
      </c>
      <c r="E54" s="154" t="s">
        <v>528</v>
      </c>
      <c r="F54" s="151"/>
      <c r="G54" s="154" t="s">
        <v>528</v>
      </c>
      <c r="H54" s="154" t="s">
        <v>528</v>
      </c>
      <c r="I54" s="154" t="s">
        <v>528</v>
      </c>
      <c r="J54" s="151"/>
      <c r="K54" s="154" t="s">
        <v>528</v>
      </c>
      <c r="L54" s="151"/>
      <c r="M54" s="151"/>
      <c r="N54" s="151"/>
      <c r="O54" s="151"/>
      <c r="P54" s="151"/>
      <c r="Q54" s="151"/>
      <c r="R54" s="151"/>
      <c r="S54" s="151"/>
    </row>
    <row r="55" ht="17.6" customHeight="1" spans="1:19">
      <c r="A55" s="14"/>
      <c r="B55" s="146" t="s">
        <v>336</v>
      </c>
      <c r="C55" s="146" t="s">
        <v>337</v>
      </c>
      <c r="D55" s="146" t="s">
        <v>338</v>
      </c>
      <c r="E55" s="151"/>
      <c r="F55" s="151"/>
      <c r="G55" s="151"/>
      <c r="H55" s="151"/>
      <c r="I55" s="151"/>
      <c r="J55" s="151"/>
      <c r="K55" s="151"/>
      <c r="L55" s="151"/>
      <c r="M55" s="151"/>
      <c r="N55" s="151"/>
      <c r="O55" s="151"/>
      <c r="P55" s="151"/>
      <c r="Q55" s="151"/>
      <c r="R55" s="151"/>
      <c r="S55" s="151"/>
    </row>
    <row r="56" ht="17.6" customHeight="1" spans="1:19">
      <c r="A56" s="14"/>
      <c r="B56" s="146" t="s">
        <v>368</v>
      </c>
      <c r="C56" s="146" t="s">
        <v>379</v>
      </c>
      <c r="D56" s="146" t="s">
        <v>380</v>
      </c>
      <c r="E56" s="151"/>
      <c r="F56" s="151"/>
      <c r="G56" s="154" t="s">
        <v>528</v>
      </c>
      <c r="H56" s="154" t="s">
        <v>528</v>
      </c>
      <c r="I56" s="151"/>
      <c r="J56" s="154" t="s">
        <v>528</v>
      </c>
      <c r="K56" s="154" t="s">
        <v>528</v>
      </c>
      <c r="L56" s="151"/>
      <c r="M56" s="151"/>
      <c r="N56" s="151"/>
      <c r="O56" s="151"/>
      <c r="P56" s="151"/>
      <c r="Q56" s="151"/>
      <c r="R56" s="151"/>
      <c r="S56" s="151"/>
    </row>
    <row r="57" ht="17.6" customHeight="1" spans="1:19">
      <c r="A57" s="15"/>
      <c r="B57" s="15"/>
      <c r="C57" s="146" t="s">
        <v>385</v>
      </c>
      <c r="D57" s="146" t="s">
        <v>386</v>
      </c>
      <c r="E57" s="151"/>
      <c r="F57" s="151"/>
      <c r="G57" s="154" t="s">
        <v>528</v>
      </c>
      <c r="H57" s="154" t="s">
        <v>528</v>
      </c>
      <c r="I57" s="151"/>
      <c r="J57" s="154" t="s">
        <v>528</v>
      </c>
      <c r="K57" s="151"/>
      <c r="L57" s="151"/>
      <c r="M57" s="151"/>
      <c r="N57" s="151"/>
      <c r="O57" s="151"/>
      <c r="P57" s="151"/>
      <c r="Q57" s="151"/>
      <c r="R57" s="151"/>
      <c r="S57" s="151"/>
    </row>
    <row r="58" ht="141" customHeight="1" spans="1:19">
      <c r="A58" s="146" t="s">
        <v>488</v>
      </c>
      <c r="B58" s="147" t="s">
        <v>489</v>
      </c>
      <c r="C58" s="147" t="s">
        <v>490</v>
      </c>
      <c r="D58" s="147" t="s">
        <v>491</v>
      </c>
      <c r="E58" s="150"/>
      <c r="F58" s="149" t="s">
        <v>528</v>
      </c>
      <c r="G58" s="149" t="s">
        <v>528</v>
      </c>
      <c r="H58" s="149" t="s">
        <v>528</v>
      </c>
      <c r="I58" s="150"/>
      <c r="J58" s="149" t="s">
        <v>528</v>
      </c>
      <c r="K58" s="149" t="s">
        <v>528</v>
      </c>
      <c r="L58" s="150"/>
      <c r="M58" s="150"/>
      <c r="N58" s="150"/>
      <c r="O58" s="150"/>
      <c r="P58" s="150"/>
      <c r="Q58" s="150"/>
      <c r="R58" s="150"/>
      <c r="S58" s="150"/>
    </row>
    <row r="59" ht="124" customHeight="1" spans="1:19">
      <c r="A59" s="14"/>
      <c r="B59" s="14"/>
      <c r="C59" s="147" t="s">
        <v>501</v>
      </c>
      <c r="D59" s="147" t="s">
        <v>502</v>
      </c>
      <c r="E59" s="150"/>
      <c r="F59" s="149" t="s">
        <v>528</v>
      </c>
      <c r="G59" s="149" t="s">
        <v>528</v>
      </c>
      <c r="H59" s="149" t="s">
        <v>528</v>
      </c>
      <c r="I59" s="150"/>
      <c r="J59" s="149" t="s">
        <v>528</v>
      </c>
      <c r="K59" s="149" t="s">
        <v>528</v>
      </c>
      <c r="L59" s="150"/>
      <c r="M59" s="150"/>
      <c r="N59" s="150"/>
      <c r="O59" s="150"/>
      <c r="P59" s="150"/>
      <c r="Q59" s="150"/>
      <c r="R59" s="150"/>
      <c r="S59" s="150"/>
    </row>
    <row r="60" ht="159" customHeight="1" spans="1:19">
      <c r="A60" s="15"/>
      <c r="B60" s="15"/>
      <c r="C60" s="147" t="s">
        <v>508</v>
      </c>
      <c r="D60" s="147" t="s">
        <v>509</v>
      </c>
      <c r="E60" s="149" t="s">
        <v>528</v>
      </c>
      <c r="F60" s="149" t="s">
        <v>528</v>
      </c>
      <c r="G60" s="149" t="s">
        <v>528</v>
      </c>
      <c r="H60" s="149" t="s">
        <v>528</v>
      </c>
      <c r="I60" s="150"/>
      <c r="J60" s="149" t="s">
        <v>528</v>
      </c>
      <c r="K60" s="149" t="s">
        <v>528</v>
      </c>
      <c r="L60" s="150"/>
      <c r="M60" s="150"/>
      <c r="N60" s="150"/>
      <c r="O60" s="150"/>
      <c r="P60" s="150"/>
      <c r="Q60" s="150"/>
      <c r="R60" s="150"/>
      <c r="S60" s="150"/>
    </row>
  </sheetData>
  <mergeCells count="22">
    <mergeCell ref="A36:D36"/>
    <mergeCell ref="A2:A6"/>
    <mergeCell ref="A7:A13"/>
    <mergeCell ref="A14:A35"/>
    <mergeCell ref="A38:A40"/>
    <mergeCell ref="A41:A57"/>
    <mergeCell ref="A58:A60"/>
    <mergeCell ref="B2:B4"/>
    <mergeCell ref="B5:B6"/>
    <mergeCell ref="B8:B13"/>
    <mergeCell ref="B14:B17"/>
    <mergeCell ref="B18:B21"/>
    <mergeCell ref="B22:B25"/>
    <mergeCell ref="B26:B28"/>
    <mergeCell ref="B29:B35"/>
    <mergeCell ref="B38:B39"/>
    <mergeCell ref="B41:B43"/>
    <mergeCell ref="B44:B45"/>
    <mergeCell ref="B47:B53"/>
    <mergeCell ref="B56:B57"/>
    <mergeCell ref="B58:B60"/>
    <mergeCell ref="C18:C19"/>
  </mergeCells>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33"/>
  <sheetViews>
    <sheetView tabSelected="1" zoomScale="108" zoomScaleNormal="108" workbookViewId="0">
      <pane xSplit="3" ySplit="1" topLeftCell="D2" activePane="bottomRight" state="frozen"/>
      <selection/>
      <selection pane="topRight"/>
      <selection pane="bottomLeft"/>
      <selection pane="bottomRight" activeCell="G55" sqref="G55:G57"/>
    </sheetView>
  </sheetViews>
  <sheetFormatPr defaultColWidth="9.16346153846154" defaultRowHeight="16.8"/>
  <cols>
    <col min="1" max="1" width="14.3365384615385" style="62" customWidth="1"/>
    <col min="2" max="2" width="12.1634615384615" style="62" customWidth="1"/>
    <col min="3" max="3" width="15.5" style="62" customWidth="1"/>
    <col min="4" max="4" width="32.3365384615385" style="61" customWidth="1"/>
    <col min="5" max="5" width="13" style="62" customWidth="1"/>
    <col min="6" max="6" width="15" style="62" customWidth="1"/>
    <col min="7" max="7" width="9.16346153846154" style="61" customWidth="1"/>
    <col min="8" max="8" width="65.1634615384615" style="63" customWidth="1"/>
    <col min="9" max="9" width="34.5" style="63" customWidth="1"/>
    <col min="10" max="10" width="22" style="63" customWidth="1"/>
    <col min="11" max="11" width="27.7788461538462" style="61" customWidth="1"/>
    <col min="12" max="12" width="13" style="61" customWidth="1"/>
    <col min="13" max="13" width="11.5" style="61" customWidth="1"/>
    <col min="14" max="14" width="12.6634615384615" style="61" customWidth="1"/>
    <col min="15" max="15" width="15.6634615384615" style="61" customWidth="1"/>
    <col min="16" max="16" width="13.8365384615385" style="61" customWidth="1"/>
    <col min="17" max="17" width="20" style="61" customWidth="1"/>
    <col min="18" max="18" width="15.1634615384615" style="61" customWidth="1"/>
    <col min="19" max="19" width="17.5" style="61" customWidth="1"/>
    <col min="20" max="20" width="20.1634615384615" style="61" customWidth="1"/>
    <col min="21" max="21" width="25" style="61" customWidth="1"/>
    <col min="22" max="22" width="20.0769230769231" style="61" customWidth="1"/>
    <col min="23" max="16384" width="9.16346153846154" style="61" customWidth="1"/>
  </cols>
  <sheetData>
    <row r="1" s="60" customFormat="1" ht="18" customHeight="1" spans="1:22">
      <c r="A1" s="65" t="s">
        <v>0</v>
      </c>
      <c r="B1" s="65" t="s">
        <v>1</v>
      </c>
      <c r="C1" s="65" t="s">
        <v>2</v>
      </c>
      <c r="D1" s="65" t="s">
        <v>3</v>
      </c>
      <c r="E1" s="65" t="s">
        <v>536</v>
      </c>
      <c r="F1" s="65" t="s">
        <v>537</v>
      </c>
      <c r="G1" s="65" t="s">
        <v>538</v>
      </c>
      <c r="H1" s="65" t="s">
        <v>539</v>
      </c>
      <c r="I1" s="84" t="s">
        <v>540</v>
      </c>
      <c r="J1" s="84" t="s">
        <v>541</v>
      </c>
      <c r="K1" s="65" t="s">
        <v>542</v>
      </c>
      <c r="L1" s="65" t="s">
        <v>543</v>
      </c>
      <c r="M1" s="65" t="s">
        <v>544</v>
      </c>
      <c r="N1" s="65" t="s">
        <v>545</v>
      </c>
      <c r="O1" s="65" t="s">
        <v>546</v>
      </c>
      <c r="P1" s="65" t="s">
        <v>547</v>
      </c>
      <c r="Q1" s="65" t="s">
        <v>548</v>
      </c>
      <c r="R1" s="65" t="s">
        <v>549</v>
      </c>
      <c r="S1" s="65" t="s">
        <v>550</v>
      </c>
      <c r="T1" s="65" t="s">
        <v>551</v>
      </c>
      <c r="U1" s="65" t="s">
        <v>552</v>
      </c>
      <c r="V1" s="85" t="s">
        <v>553</v>
      </c>
    </row>
    <row r="2" s="117" customFormat="1" spans="1:22">
      <c r="A2" s="66" t="s">
        <v>554</v>
      </c>
      <c r="B2" s="67" t="s">
        <v>23</v>
      </c>
      <c r="C2" s="67" t="s">
        <v>24</v>
      </c>
      <c r="D2" s="68" t="s">
        <v>555</v>
      </c>
      <c r="E2" s="67" t="s">
        <v>556</v>
      </c>
      <c r="F2" s="67" t="s">
        <v>557</v>
      </c>
      <c r="G2" s="68"/>
      <c r="H2" s="68" t="s">
        <v>558</v>
      </c>
      <c r="I2" s="68">
        <v>0</v>
      </c>
      <c r="J2" s="68">
        <v>0</v>
      </c>
      <c r="K2" s="118" t="s">
        <v>559</v>
      </c>
      <c r="L2" s="68"/>
      <c r="M2" s="68"/>
      <c r="N2" s="68"/>
      <c r="O2" s="68"/>
      <c r="P2" s="68"/>
      <c r="Q2" s="68"/>
      <c r="R2" s="68"/>
      <c r="S2" s="67" t="s">
        <v>560</v>
      </c>
      <c r="T2" s="68"/>
      <c r="U2" s="68"/>
      <c r="V2" s="86">
        <v>1</v>
      </c>
    </row>
    <row r="3" s="117" customFormat="1" ht="17" customHeight="1" spans="1:22">
      <c r="A3" s="14"/>
      <c r="B3" s="14"/>
      <c r="C3" s="14"/>
      <c r="D3" s="14"/>
      <c r="E3" s="14"/>
      <c r="F3" s="14"/>
      <c r="G3" s="14"/>
      <c r="H3" s="14"/>
      <c r="I3" s="68" t="s">
        <v>561</v>
      </c>
      <c r="J3" s="68">
        <v>2.5</v>
      </c>
      <c r="K3" s="14"/>
      <c r="L3" s="68"/>
      <c r="M3" s="68"/>
      <c r="N3" s="68"/>
      <c r="O3" s="68"/>
      <c r="P3" s="68"/>
      <c r="Q3" s="68"/>
      <c r="R3" s="68"/>
      <c r="S3" s="14"/>
      <c r="T3" s="68"/>
      <c r="U3" s="68"/>
      <c r="V3" s="14"/>
    </row>
    <row r="4" s="117" customFormat="1" ht="17" customHeight="1" spans="1:22">
      <c r="A4" s="14"/>
      <c r="B4" s="14"/>
      <c r="C4" s="14"/>
      <c r="D4" s="14"/>
      <c r="E4" s="14"/>
      <c r="F4" s="14"/>
      <c r="G4" s="14"/>
      <c r="H4" s="14"/>
      <c r="I4" s="68" t="s">
        <v>562</v>
      </c>
      <c r="J4" s="68">
        <v>5</v>
      </c>
      <c r="K4" s="14"/>
      <c r="L4" s="68"/>
      <c r="M4" s="68"/>
      <c r="N4" s="68"/>
      <c r="O4" s="68"/>
      <c r="P4" s="68"/>
      <c r="Q4" s="68"/>
      <c r="R4" s="68"/>
      <c r="S4" s="14"/>
      <c r="T4" s="68"/>
      <c r="U4" s="68"/>
      <c r="V4" s="14"/>
    </row>
    <row r="5" s="117" customFormat="1" ht="17" customHeight="1" spans="1:22">
      <c r="A5" s="14"/>
      <c r="B5" s="14"/>
      <c r="C5" s="14"/>
      <c r="D5" s="14"/>
      <c r="E5" s="14"/>
      <c r="F5" s="14"/>
      <c r="G5" s="14"/>
      <c r="H5" s="14"/>
      <c r="I5" s="68" t="s">
        <v>563</v>
      </c>
      <c r="J5" s="68">
        <v>7.5</v>
      </c>
      <c r="K5" s="14"/>
      <c r="L5" s="68"/>
      <c r="M5" s="68"/>
      <c r="N5" s="68"/>
      <c r="O5" s="68"/>
      <c r="P5" s="68"/>
      <c r="Q5" s="68"/>
      <c r="R5" s="68"/>
      <c r="S5" s="14"/>
      <c r="T5" s="68"/>
      <c r="U5" s="68"/>
      <c r="V5" s="14"/>
    </row>
    <row r="6" s="117" customFormat="1" ht="17" customHeight="1" spans="1:22">
      <c r="A6" s="14"/>
      <c r="B6" s="14"/>
      <c r="C6" s="15"/>
      <c r="D6" s="15"/>
      <c r="E6" s="15"/>
      <c r="F6" s="15"/>
      <c r="G6" s="15"/>
      <c r="H6" s="15"/>
      <c r="I6" s="68" t="s">
        <v>564</v>
      </c>
      <c r="J6" s="68">
        <v>10</v>
      </c>
      <c r="K6" s="15"/>
      <c r="L6" s="68"/>
      <c r="M6" s="68"/>
      <c r="N6" s="68"/>
      <c r="O6" s="68"/>
      <c r="P6" s="68"/>
      <c r="Q6" s="68"/>
      <c r="R6" s="68"/>
      <c r="S6" s="15"/>
      <c r="T6" s="68"/>
      <c r="U6" s="68"/>
      <c r="V6" s="15"/>
    </row>
    <row r="7" s="117" customFormat="1" spans="1:22">
      <c r="A7" s="14"/>
      <c r="B7" s="14"/>
      <c r="C7" s="67" t="s">
        <v>40</v>
      </c>
      <c r="D7" s="68" t="s">
        <v>555</v>
      </c>
      <c r="E7" s="67" t="s">
        <v>556</v>
      </c>
      <c r="F7" s="67" t="s">
        <v>565</v>
      </c>
      <c r="G7" s="68"/>
      <c r="H7" s="68" t="s">
        <v>566</v>
      </c>
      <c r="I7" s="68">
        <v>0</v>
      </c>
      <c r="J7" s="68">
        <v>0</v>
      </c>
      <c r="K7" s="118" t="s">
        <v>559</v>
      </c>
      <c r="L7" s="68"/>
      <c r="M7" s="68"/>
      <c r="N7" s="68"/>
      <c r="O7" s="68"/>
      <c r="P7" s="68"/>
      <c r="Q7" s="68"/>
      <c r="R7" s="68"/>
      <c r="S7" s="67" t="s">
        <v>567</v>
      </c>
      <c r="T7" s="68"/>
      <c r="U7" s="68"/>
      <c r="V7" s="86">
        <v>0.9</v>
      </c>
    </row>
    <row r="8" s="117" customFormat="1" ht="17" customHeight="1" spans="1:22">
      <c r="A8" s="14"/>
      <c r="B8" s="14"/>
      <c r="C8" s="14"/>
      <c r="D8" s="14"/>
      <c r="E8" s="14"/>
      <c r="F8" s="14"/>
      <c r="G8" s="14"/>
      <c r="H8" s="14"/>
      <c r="I8" s="68" t="s">
        <v>561</v>
      </c>
      <c r="J8" s="68">
        <v>2.5</v>
      </c>
      <c r="K8" s="14"/>
      <c r="L8" s="68"/>
      <c r="M8" s="68"/>
      <c r="N8" s="68"/>
      <c r="O8" s="68"/>
      <c r="P8" s="68"/>
      <c r="Q8" s="68"/>
      <c r="R8" s="68"/>
      <c r="S8" s="14"/>
      <c r="T8" s="68"/>
      <c r="U8" s="68"/>
      <c r="V8" s="14"/>
    </row>
    <row r="9" s="117" customFormat="1" ht="17" customHeight="1" spans="1:22">
      <c r="A9" s="14"/>
      <c r="B9" s="14"/>
      <c r="C9" s="14"/>
      <c r="D9" s="14"/>
      <c r="E9" s="14"/>
      <c r="F9" s="14"/>
      <c r="G9" s="14"/>
      <c r="H9" s="14"/>
      <c r="I9" s="68" t="s">
        <v>562</v>
      </c>
      <c r="J9" s="68">
        <v>5</v>
      </c>
      <c r="K9" s="14"/>
      <c r="L9" s="68"/>
      <c r="M9" s="68"/>
      <c r="N9" s="68"/>
      <c r="O9" s="68"/>
      <c r="P9" s="68"/>
      <c r="Q9" s="68"/>
      <c r="R9" s="68"/>
      <c r="S9" s="14"/>
      <c r="T9" s="68"/>
      <c r="U9" s="68"/>
      <c r="V9" s="14"/>
    </row>
    <row r="10" s="117" customFormat="1" ht="17" customHeight="1" spans="1:22">
      <c r="A10" s="14"/>
      <c r="B10" s="14"/>
      <c r="C10" s="14"/>
      <c r="D10" s="14"/>
      <c r="E10" s="14"/>
      <c r="F10" s="14"/>
      <c r="G10" s="14"/>
      <c r="H10" s="14"/>
      <c r="I10" s="68" t="s">
        <v>563</v>
      </c>
      <c r="J10" s="68">
        <v>7.5</v>
      </c>
      <c r="K10" s="14"/>
      <c r="L10" s="68"/>
      <c r="M10" s="68"/>
      <c r="N10" s="68"/>
      <c r="O10" s="68"/>
      <c r="P10" s="68"/>
      <c r="Q10" s="68"/>
      <c r="R10" s="68"/>
      <c r="S10" s="14"/>
      <c r="T10" s="68"/>
      <c r="U10" s="68"/>
      <c r="V10" s="14"/>
    </row>
    <row r="11" s="117" customFormat="1" ht="17" customHeight="1" spans="1:22">
      <c r="A11" s="14"/>
      <c r="B11" s="14"/>
      <c r="C11" s="15"/>
      <c r="D11" s="15"/>
      <c r="E11" s="15"/>
      <c r="F11" s="15"/>
      <c r="G11" s="15"/>
      <c r="H11" s="15"/>
      <c r="I11" s="68" t="s">
        <v>564</v>
      </c>
      <c r="J11" s="68">
        <v>10</v>
      </c>
      <c r="K11" s="15"/>
      <c r="L11" s="68"/>
      <c r="M11" s="68"/>
      <c r="N11" s="68"/>
      <c r="O11" s="68"/>
      <c r="P11" s="68"/>
      <c r="Q11" s="68"/>
      <c r="R11" s="68"/>
      <c r="S11" s="15"/>
      <c r="T11" s="68"/>
      <c r="U11" s="68"/>
      <c r="V11" s="15"/>
    </row>
    <row r="12" s="117" customFormat="1" spans="1:22">
      <c r="A12" s="14"/>
      <c r="B12" s="14"/>
      <c r="C12" s="67" t="s">
        <v>52</v>
      </c>
      <c r="D12" s="68" t="s">
        <v>53</v>
      </c>
      <c r="E12" s="67" t="s">
        <v>556</v>
      </c>
      <c r="F12" s="67" t="s">
        <v>568</v>
      </c>
      <c r="G12" s="68"/>
      <c r="H12" s="68" t="s">
        <v>569</v>
      </c>
      <c r="I12" s="68">
        <v>0</v>
      </c>
      <c r="J12" s="68">
        <v>0</v>
      </c>
      <c r="K12" s="118" t="s">
        <v>570</v>
      </c>
      <c r="L12" s="68"/>
      <c r="M12" s="68"/>
      <c r="N12" s="68"/>
      <c r="O12" s="68"/>
      <c r="P12" s="68"/>
      <c r="Q12" s="68"/>
      <c r="R12" s="68"/>
      <c r="S12" s="67" t="s">
        <v>560</v>
      </c>
      <c r="T12" s="68"/>
      <c r="U12" s="68"/>
      <c r="V12" s="86">
        <v>0.1</v>
      </c>
    </row>
    <row r="13" ht="17" customHeight="1" spans="1:22">
      <c r="A13" s="14"/>
      <c r="B13" s="14"/>
      <c r="C13" s="14"/>
      <c r="D13" s="14"/>
      <c r="E13" s="14"/>
      <c r="F13" s="14"/>
      <c r="G13" s="14"/>
      <c r="H13" s="14"/>
      <c r="I13" s="68" t="s">
        <v>571</v>
      </c>
      <c r="J13" s="68">
        <v>2</v>
      </c>
      <c r="K13" s="14"/>
      <c r="L13" s="68"/>
      <c r="M13" s="68"/>
      <c r="N13" s="68"/>
      <c r="O13" s="68"/>
      <c r="P13" s="68"/>
      <c r="Q13" s="68"/>
      <c r="R13" s="68"/>
      <c r="S13" s="14"/>
      <c r="T13" s="68"/>
      <c r="U13" s="68"/>
      <c r="V13" s="14"/>
    </row>
    <row r="14" ht="17" customHeight="1" spans="1:22">
      <c r="A14" s="14"/>
      <c r="B14" s="14"/>
      <c r="C14" s="14"/>
      <c r="D14" s="14"/>
      <c r="E14" s="14"/>
      <c r="F14" s="14"/>
      <c r="G14" s="14"/>
      <c r="H14" s="14"/>
      <c r="I14" s="68" t="s">
        <v>572</v>
      </c>
      <c r="J14" s="68">
        <v>4</v>
      </c>
      <c r="K14" s="14"/>
      <c r="L14" s="68"/>
      <c r="M14" s="68"/>
      <c r="N14" s="68"/>
      <c r="O14" s="68"/>
      <c r="P14" s="68"/>
      <c r="Q14" s="68"/>
      <c r="R14" s="68"/>
      <c r="S14" s="14"/>
      <c r="T14" s="68"/>
      <c r="U14" s="68"/>
      <c r="V14" s="14"/>
    </row>
    <row r="15" ht="17" customHeight="1" spans="1:22">
      <c r="A15" s="14"/>
      <c r="B15" s="14"/>
      <c r="C15" s="14"/>
      <c r="D15" s="14"/>
      <c r="E15" s="14"/>
      <c r="F15" s="14"/>
      <c r="G15" s="14"/>
      <c r="H15" s="14"/>
      <c r="I15" s="68" t="s">
        <v>573</v>
      </c>
      <c r="J15" s="68">
        <v>6</v>
      </c>
      <c r="K15" s="14"/>
      <c r="L15" s="68"/>
      <c r="M15" s="68"/>
      <c r="N15" s="68"/>
      <c r="O15" s="68"/>
      <c r="P15" s="68"/>
      <c r="Q15" s="68"/>
      <c r="R15" s="68"/>
      <c r="S15" s="14"/>
      <c r="T15" s="68"/>
      <c r="U15" s="68"/>
      <c r="V15" s="14"/>
    </row>
    <row r="16" ht="17" customHeight="1" spans="1:22">
      <c r="A16" s="14"/>
      <c r="B16" s="14"/>
      <c r="C16" s="14"/>
      <c r="D16" s="14"/>
      <c r="E16" s="14"/>
      <c r="F16" s="14"/>
      <c r="G16" s="14"/>
      <c r="H16" s="14"/>
      <c r="I16" s="68" t="s">
        <v>574</v>
      </c>
      <c r="J16" s="68">
        <v>8</v>
      </c>
      <c r="K16" s="14"/>
      <c r="L16" s="68"/>
      <c r="M16" s="68"/>
      <c r="N16" s="68"/>
      <c r="O16" s="68"/>
      <c r="P16" s="68"/>
      <c r="Q16" s="68"/>
      <c r="R16" s="68"/>
      <c r="S16" s="14"/>
      <c r="T16" s="68"/>
      <c r="U16" s="68"/>
      <c r="V16" s="14"/>
    </row>
    <row r="17" ht="17" customHeight="1" spans="1:22">
      <c r="A17" s="14"/>
      <c r="B17" s="15"/>
      <c r="C17" s="15"/>
      <c r="D17" s="15"/>
      <c r="E17" s="15"/>
      <c r="F17" s="15"/>
      <c r="G17" s="15"/>
      <c r="H17" s="15"/>
      <c r="I17" s="68" t="s">
        <v>575</v>
      </c>
      <c r="J17" s="68">
        <v>10</v>
      </c>
      <c r="K17" s="15"/>
      <c r="L17" s="68"/>
      <c r="M17" s="68"/>
      <c r="N17" s="68"/>
      <c r="O17" s="68"/>
      <c r="P17" s="68"/>
      <c r="Q17" s="68"/>
      <c r="R17" s="68"/>
      <c r="S17" s="15"/>
      <c r="T17" s="68"/>
      <c r="U17" s="68"/>
      <c r="V17" s="15"/>
    </row>
    <row r="18" spans="1:22">
      <c r="A18" s="14"/>
      <c r="B18" s="67" t="s">
        <v>63</v>
      </c>
      <c r="C18" s="67" t="s">
        <v>64</v>
      </c>
      <c r="D18" s="68" t="s">
        <v>65</v>
      </c>
      <c r="E18" s="67" t="s">
        <v>556</v>
      </c>
      <c r="F18" s="67" t="s">
        <v>576</v>
      </c>
      <c r="G18" s="68"/>
      <c r="H18" s="68" t="s">
        <v>577</v>
      </c>
      <c r="I18" s="68">
        <v>0</v>
      </c>
      <c r="J18" s="68">
        <v>0</v>
      </c>
      <c r="K18" s="118" t="s">
        <v>559</v>
      </c>
      <c r="L18" s="68"/>
      <c r="M18" s="68"/>
      <c r="N18" s="68"/>
      <c r="O18" s="68"/>
      <c r="P18" s="68"/>
      <c r="Q18" s="68"/>
      <c r="R18" s="68"/>
      <c r="S18" s="67" t="s">
        <v>560</v>
      </c>
      <c r="T18" s="68"/>
      <c r="U18" s="68"/>
      <c r="V18" s="87">
        <v>0.6</v>
      </c>
    </row>
    <row r="19" ht="17" customHeight="1" spans="1:22">
      <c r="A19" s="14"/>
      <c r="B19" s="14"/>
      <c r="C19" s="14"/>
      <c r="D19" s="14"/>
      <c r="E19" s="14"/>
      <c r="F19" s="14"/>
      <c r="G19" s="14"/>
      <c r="H19" s="14"/>
      <c r="I19" s="68" t="s">
        <v>571</v>
      </c>
      <c r="J19" s="68">
        <v>2</v>
      </c>
      <c r="K19" s="14"/>
      <c r="L19" s="68"/>
      <c r="M19" s="68"/>
      <c r="N19" s="68"/>
      <c r="O19" s="68"/>
      <c r="P19" s="68"/>
      <c r="Q19" s="68"/>
      <c r="R19" s="68"/>
      <c r="S19" s="14"/>
      <c r="T19" s="68"/>
      <c r="U19" s="68"/>
      <c r="V19" s="14"/>
    </row>
    <row r="20" ht="17" customHeight="1" spans="1:22">
      <c r="A20" s="14"/>
      <c r="B20" s="14"/>
      <c r="C20" s="14"/>
      <c r="D20" s="14"/>
      <c r="E20" s="14"/>
      <c r="F20" s="14"/>
      <c r="G20" s="14"/>
      <c r="H20" s="14"/>
      <c r="I20" s="68" t="s">
        <v>572</v>
      </c>
      <c r="J20" s="68">
        <v>4</v>
      </c>
      <c r="K20" s="14"/>
      <c r="L20" s="68"/>
      <c r="M20" s="68"/>
      <c r="N20" s="68"/>
      <c r="O20" s="68"/>
      <c r="P20" s="68"/>
      <c r="Q20" s="68"/>
      <c r="R20" s="68"/>
      <c r="S20" s="14"/>
      <c r="T20" s="68"/>
      <c r="U20" s="68"/>
      <c r="V20" s="14"/>
    </row>
    <row r="21" ht="17" customHeight="1" spans="1:22">
      <c r="A21" s="14"/>
      <c r="B21" s="14"/>
      <c r="C21" s="14"/>
      <c r="D21" s="14"/>
      <c r="E21" s="14"/>
      <c r="F21" s="14"/>
      <c r="G21" s="14"/>
      <c r="H21" s="14"/>
      <c r="I21" s="68" t="s">
        <v>573</v>
      </c>
      <c r="J21" s="68">
        <v>6</v>
      </c>
      <c r="K21" s="14"/>
      <c r="L21" s="68"/>
      <c r="M21" s="68"/>
      <c r="N21" s="68"/>
      <c r="O21" s="68"/>
      <c r="P21" s="68"/>
      <c r="Q21" s="68"/>
      <c r="R21" s="68"/>
      <c r="S21" s="14"/>
      <c r="T21" s="68"/>
      <c r="U21" s="68"/>
      <c r="V21" s="14"/>
    </row>
    <row r="22" ht="17" customHeight="1" spans="1:22">
      <c r="A22" s="14"/>
      <c r="B22" s="14"/>
      <c r="C22" s="14"/>
      <c r="D22" s="14"/>
      <c r="E22" s="14"/>
      <c r="F22" s="14"/>
      <c r="G22" s="14"/>
      <c r="H22" s="14"/>
      <c r="I22" s="68" t="s">
        <v>574</v>
      </c>
      <c r="J22" s="68">
        <v>8</v>
      </c>
      <c r="K22" s="14"/>
      <c r="L22" s="68"/>
      <c r="M22" s="68"/>
      <c r="N22" s="68"/>
      <c r="O22" s="68"/>
      <c r="P22" s="68"/>
      <c r="Q22" s="68"/>
      <c r="R22" s="68"/>
      <c r="S22" s="14"/>
      <c r="T22" s="68"/>
      <c r="U22" s="68"/>
      <c r="V22" s="14"/>
    </row>
    <row r="23" ht="17" customHeight="1" spans="1:22">
      <c r="A23" s="14"/>
      <c r="B23" s="14"/>
      <c r="C23" s="15"/>
      <c r="D23" s="15"/>
      <c r="E23" s="15"/>
      <c r="F23" s="15"/>
      <c r="G23" s="15"/>
      <c r="H23" s="15"/>
      <c r="I23" s="68" t="s">
        <v>578</v>
      </c>
      <c r="J23" s="68">
        <v>10</v>
      </c>
      <c r="K23" s="15"/>
      <c r="L23" s="68"/>
      <c r="M23" s="68"/>
      <c r="N23" s="68"/>
      <c r="O23" s="68"/>
      <c r="P23" s="68"/>
      <c r="Q23" s="68"/>
      <c r="R23" s="68"/>
      <c r="S23" s="15"/>
      <c r="T23" s="68"/>
      <c r="U23" s="68"/>
      <c r="V23" s="15"/>
    </row>
    <row r="24" ht="17" customHeight="1" spans="1:22">
      <c r="A24" s="14"/>
      <c r="B24" s="14"/>
      <c r="C24" s="67" t="s">
        <v>81</v>
      </c>
      <c r="D24" s="68" t="s">
        <v>82</v>
      </c>
      <c r="E24" s="67" t="s">
        <v>556</v>
      </c>
      <c r="F24" s="67" t="s">
        <v>579</v>
      </c>
      <c r="G24" s="68"/>
      <c r="H24" s="68" t="s">
        <v>580</v>
      </c>
      <c r="I24" s="68" t="s">
        <v>581</v>
      </c>
      <c r="J24" s="68">
        <v>0</v>
      </c>
      <c r="K24" s="118" t="s">
        <v>570</v>
      </c>
      <c r="L24" s="68"/>
      <c r="M24" s="68"/>
      <c r="N24" s="68"/>
      <c r="O24" s="68"/>
      <c r="P24" s="68"/>
      <c r="Q24" s="68"/>
      <c r="R24" s="68"/>
      <c r="S24" s="67" t="s">
        <v>560</v>
      </c>
      <c r="T24" s="68"/>
      <c r="U24" s="68"/>
      <c r="V24" s="87">
        <v>0.1</v>
      </c>
    </row>
    <row r="25" ht="42" customHeight="1" spans="1:22">
      <c r="A25" s="15"/>
      <c r="B25" s="15"/>
      <c r="C25" s="15"/>
      <c r="D25" s="15"/>
      <c r="E25" s="15"/>
      <c r="F25" s="15"/>
      <c r="G25" s="15"/>
      <c r="H25" s="15"/>
      <c r="I25" s="68" t="s">
        <v>582</v>
      </c>
      <c r="J25" s="68">
        <v>10</v>
      </c>
      <c r="K25" s="15"/>
      <c r="L25" s="68"/>
      <c r="M25" s="68"/>
      <c r="N25" s="68"/>
      <c r="O25" s="68"/>
      <c r="P25" s="68"/>
      <c r="Q25" s="68"/>
      <c r="R25" s="68"/>
      <c r="S25" s="15"/>
      <c r="T25" s="68"/>
      <c r="U25" s="68"/>
      <c r="V25" s="15"/>
    </row>
    <row r="26" spans="1:22">
      <c r="A26" s="69" t="s">
        <v>583</v>
      </c>
      <c r="B26" s="70" t="s">
        <v>115</v>
      </c>
      <c r="C26" s="70" t="s">
        <v>116</v>
      </c>
      <c r="D26" s="71" t="s">
        <v>117</v>
      </c>
      <c r="E26" s="70" t="s">
        <v>556</v>
      </c>
      <c r="F26" s="70" t="s">
        <v>584</v>
      </c>
      <c r="G26" s="71"/>
      <c r="H26" s="71" t="s">
        <v>585</v>
      </c>
      <c r="I26" s="71">
        <v>0</v>
      </c>
      <c r="J26" s="71">
        <v>0</v>
      </c>
      <c r="K26" s="118" t="s">
        <v>559</v>
      </c>
      <c r="L26" s="71"/>
      <c r="M26" s="71"/>
      <c r="N26" s="71"/>
      <c r="O26" s="71"/>
      <c r="P26" s="71"/>
      <c r="Q26" s="71"/>
      <c r="R26" s="71"/>
      <c r="S26" s="70" t="s">
        <v>560</v>
      </c>
      <c r="T26" s="71"/>
      <c r="U26" s="71"/>
      <c r="V26" s="87">
        <v>0.4</v>
      </c>
    </row>
    <row r="27" s="117" customFormat="1" ht="17" customHeight="1" spans="1:22">
      <c r="A27" s="14"/>
      <c r="B27" s="14"/>
      <c r="C27" s="14"/>
      <c r="D27" s="14"/>
      <c r="E27" s="14"/>
      <c r="F27" s="14"/>
      <c r="G27" s="14"/>
      <c r="H27" s="14"/>
      <c r="I27" s="71" t="s">
        <v>571</v>
      </c>
      <c r="J27" s="71">
        <v>2</v>
      </c>
      <c r="K27" s="14"/>
      <c r="L27" s="71"/>
      <c r="M27" s="71"/>
      <c r="N27" s="71"/>
      <c r="O27" s="71"/>
      <c r="P27" s="71"/>
      <c r="Q27" s="71"/>
      <c r="R27" s="71"/>
      <c r="S27" s="14"/>
      <c r="T27" s="71"/>
      <c r="U27" s="71"/>
      <c r="V27" s="14"/>
    </row>
    <row r="28" s="117" customFormat="1" ht="17" customHeight="1" spans="1:22">
      <c r="A28" s="14"/>
      <c r="B28" s="14"/>
      <c r="C28" s="14"/>
      <c r="D28" s="14"/>
      <c r="E28" s="14"/>
      <c r="F28" s="14"/>
      <c r="G28" s="14"/>
      <c r="H28" s="14"/>
      <c r="I28" s="71" t="s">
        <v>572</v>
      </c>
      <c r="J28" s="71">
        <v>4</v>
      </c>
      <c r="K28" s="14"/>
      <c r="L28" s="71"/>
      <c r="M28" s="71"/>
      <c r="N28" s="71"/>
      <c r="O28" s="71"/>
      <c r="P28" s="71"/>
      <c r="Q28" s="71"/>
      <c r="R28" s="71"/>
      <c r="S28" s="14"/>
      <c r="T28" s="71"/>
      <c r="U28" s="71"/>
      <c r="V28" s="14"/>
    </row>
    <row r="29" s="117" customFormat="1" ht="17" customHeight="1" spans="1:22">
      <c r="A29" s="14"/>
      <c r="B29" s="14"/>
      <c r="C29" s="14"/>
      <c r="D29" s="14"/>
      <c r="E29" s="14"/>
      <c r="F29" s="14"/>
      <c r="G29" s="14"/>
      <c r="H29" s="14"/>
      <c r="I29" s="71" t="s">
        <v>573</v>
      </c>
      <c r="J29" s="71">
        <v>6</v>
      </c>
      <c r="K29" s="14"/>
      <c r="L29" s="71"/>
      <c r="M29" s="71"/>
      <c r="N29" s="71"/>
      <c r="O29" s="71"/>
      <c r="P29" s="71"/>
      <c r="Q29" s="71"/>
      <c r="R29" s="71"/>
      <c r="S29" s="14"/>
      <c r="T29" s="71"/>
      <c r="U29" s="71"/>
      <c r="V29" s="14"/>
    </row>
    <row r="30" s="117" customFormat="1" ht="17" customHeight="1" spans="1:22">
      <c r="A30" s="14"/>
      <c r="B30" s="14"/>
      <c r="C30" s="14"/>
      <c r="D30" s="14"/>
      <c r="E30" s="14"/>
      <c r="F30" s="14"/>
      <c r="G30" s="14"/>
      <c r="H30" s="14"/>
      <c r="I30" s="71" t="s">
        <v>574</v>
      </c>
      <c r="J30" s="71">
        <v>8</v>
      </c>
      <c r="K30" s="14"/>
      <c r="L30" s="71"/>
      <c r="M30" s="71"/>
      <c r="N30" s="71"/>
      <c r="O30" s="71"/>
      <c r="P30" s="71"/>
      <c r="Q30" s="71"/>
      <c r="R30" s="71"/>
      <c r="S30" s="14"/>
      <c r="T30" s="71"/>
      <c r="U30" s="71"/>
      <c r="V30" s="14"/>
    </row>
    <row r="31" s="117" customFormat="1" ht="17" customHeight="1" spans="1:22">
      <c r="A31" s="14"/>
      <c r="B31" s="15"/>
      <c r="C31" s="15"/>
      <c r="D31" s="15"/>
      <c r="E31" s="15"/>
      <c r="F31" s="15"/>
      <c r="G31" s="15"/>
      <c r="H31" s="15"/>
      <c r="I31" s="71" t="s">
        <v>586</v>
      </c>
      <c r="J31" s="71">
        <v>10</v>
      </c>
      <c r="K31" s="15"/>
      <c r="L31" s="71"/>
      <c r="M31" s="71"/>
      <c r="N31" s="71"/>
      <c r="O31" s="71"/>
      <c r="P31" s="71"/>
      <c r="Q31" s="71"/>
      <c r="R31" s="71"/>
      <c r="S31" s="15"/>
      <c r="T31" s="71"/>
      <c r="U31" s="71"/>
      <c r="V31" s="15"/>
    </row>
    <row r="32" spans="1:22">
      <c r="A32" s="14"/>
      <c r="B32" s="70" t="s">
        <v>143</v>
      </c>
      <c r="C32" s="70" t="s">
        <v>144</v>
      </c>
      <c r="D32" s="71" t="s">
        <v>145</v>
      </c>
      <c r="E32" s="70" t="s">
        <v>556</v>
      </c>
      <c r="F32" s="70" t="s">
        <v>587</v>
      </c>
      <c r="G32" s="71"/>
      <c r="H32" s="71" t="s">
        <v>588</v>
      </c>
      <c r="I32" s="71">
        <v>0</v>
      </c>
      <c r="J32" s="71">
        <v>0</v>
      </c>
      <c r="K32" s="118" t="s">
        <v>559</v>
      </c>
      <c r="L32" s="71"/>
      <c r="M32" s="71"/>
      <c r="N32" s="71"/>
      <c r="O32" s="71"/>
      <c r="P32" s="71"/>
      <c r="Q32" s="71"/>
      <c r="R32" s="71"/>
      <c r="S32" s="70" t="s">
        <v>560</v>
      </c>
      <c r="T32" s="71"/>
      <c r="U32" s="71"/>
      <c r="V32" s="87">
        <v>0.5</v>
      </c>
    </row>
    <row r="33" ht="17" customHeight="1" spans="1:22">
      <c r="A33" s="14"/>
      <c r="B33" s="14"/>
      <c r="C33" s="14"/>
      <c r="D33" s="14"/>
      <c r="E33" s="14"/>
      <c r="F33" s="14"/>
      <c r="G33" s="14"/>
      <c r="H33" s="14"/>
      <c r="I33" s="71" t="s">
        <v>571</v>
      </c>
      <c r="J33" s="71">
        <v>2</v>
      </c>
      <c r="K33" s="14"/>
      <c r="L33" s="71"/>
      <c r="M33" s="71"/>
      <c r="N33" s="71"/>
      <c r="O33" s="71"/>
      <c r="P33" s="71"/>
      <c r="Q33" s="71"/>
      <c r="R33" s="71"/>
      <c r="S33" s="14"/>
      <c r="T33" s="71"/>
      <c r="U33" s="71"/>
      <c r="V33" s="14"/>
    </row>
    <row r="34" ht="17" customHeight="1" spans="1:22">
      <c r="A34" s="14"/>
      <c r="B34" s="14"/>
      <c r="C34" s="14"/>
      <c r="D34" s="14"/>
      <c r="E34" s="14"/>
      <c r="F34" s="14"/>
      <c r="G34" s="14"/>
      <c r="H34" s="14"/>
      <c r="I34" s="71" t="s">
        <v>572</v>
      </c>
      <c r="J34" s="71">
        <v>4</v>
      </c>
      <c r="K34" s="14"/>
      <c r="L34" s="71"/>
      <c r="M34" s="71"/>
      <c r="N34" s="71"/>
      <c r="O34" s="71"/>
      <c r="P34" s="71"/>
      <c r="Q34" s="71"/>
      <c r="R34" s="71"/>
      <c r="S34" s="14"/>
      <c r="T34" s="71"/>
      <c r="U34" s="71"/>
      <c r="V34" s="14"/>
    </row>
    <row r="35" ht="17" customHeight="1" spans="1:22">
      <c r="A35" s="14"/>
      <c r="B35" s="14"/>
      <c r="C35" s="14"/>
      <c r="D35" s="14"/>
      <c r="E35" s="14"/>
      <c r="F35" s="14"/>
      <c r="G35" s="14"/>
      <c r="H35" s="14"/>
      <c r="I35" s="71" t="s">
        <v>573</v>
      </c>
      <c r="J35" s="71">
        <v>6</v>
      </c>
      <c r="K35" s="14"/>
      <c r="L35" s="71"/>
      <c r="M35" s="71"/>
      <c r="N35" s="71"/>
      <c r="O35" s="71"/>
      <c r="P35" s="71"/>
      <c r="Q35" s="71"/>
      <c r="R35" s="71"/>
      <c r="S35" s="14"/>
      <c r="T35" s="71"/>
      <c r="U35" s="71"/>
      <c r="V35" s="14"/>
    </row>
    <row r="36" ht="17" customHeight="1" spans="1:22">
      <c r="A36" s="14"/>
      <c r="B36" s="14"/>
      <c r="C36" s="14"/>
      <c r="D36" s="14"/>
      <c r="E36" s="14"/>
      <c r="F36" s="14"/>
      <c r="G36" s="14"/>
      <c r="H36" s="14"/>
      <c r="I36" s="71" t="s">
        <v>574</v>
      </c>
      <c r="J36" s="71">
        <v>8</v>
      </c>
      <c r="K36" s="14"/>
      <c r="L36" s="71"/>
      <c r="M36" s="71"/>
      <c r="N36" s="71"/>
      <c r="O36" s="71"/>
      <c r="P36" s="71"/>
      <c r="Q36" s="71"/>
      <c r="R36" s="71"/>
      <c r="S36" s="14"/>
      <c r="T36" s="71"/>
      <c r="U36" s="71"/>
      <c r="V36" s="14"/>
    </row>
    <row r="37" ht="17" customHeight="1" spans="1:22">
      <c r="A37" s="14"/>
      <c r="B37" s="14"/>
      <c r="C37" s="15"/>
      <c r="D37" s="15"/>
      <c r="E37" s="15"/>
      <c r="F37" s="15"/>
      <c r="G37" s="15"/>
      <c r="H37" s="15"/>
      <c r="I37" s="71" t="s">
        <v>586</v>
      </c>
      <c r="J37" s="71">
        <v>10</v>
      </c>
      <c r="K37" s="15"/>
      <c r="L37" s="71"/>
      <c r="M37" s="71"/>
      <c r="N37" s="71"/>
      <c r="O37" s="71"/>
      <c r="P37" s="71"/>
      <c r="Q37" s="71"/>
      <c r="R37" s="71"/>
      <c r="S37" s="15"/>
      <c r="T37" s="71"/>
      <c r="U37" s="71"/>
      <c r="V37" s="15"/>
    </row>
    <row r="38" spans="1:22">
      <c r="A38" s="14"/>
      <c r="B38" s="14"/>
      <c r="C38" s="70" t="s">
        <v>155</v>
      </c>
      <c r="D38" s="71" t="s">
        <v>156</v>
      </c>
      <c r="E38" s="70" t="s">
        <v>556</v>
      </c>
      <c r="F38" s="70" t="s">
        <v>589</v>
      </c>
      <c r="G38" s="71"/>
      <c r="H38" s="71" t="s">
        <v>590</v>
      </c>
      <c r="I38" s="71">
        <v>0</v>
      </c>
      <c r="J38" s="71">
        <v>0</v>
      </c>
      <c r="K38" s="119" t="s">
        <v>559</v>
      </c>
      <c r="L38" s="71"/>
      <c r="M38" s="71"/>
      <c r="N38" s="71"/>
      <c r="O38" s="71"/>
      <c r="P38" s="71"/>
      <c r="Q38" s="71"/>
      <c r="R38" s="71"/>
      <c r="S38" s="70" t="s">
        <v>560</v>
      </c>
      <c r="T38" s="71"/>
      <c r="U38" s="71"/>
      <c r="V38" s="87">
        <v>0.4</v>
      </c>
    </row>
    <row r="39" ht="17" customHeight="1" spans="1:22">
      <c r="A39" s="14"/>
      <c r="B39" s="14"/>
      <c r="C39" s="14"/>
      <c r="D39" s="14"/>
      <c r="E39" s="14"/>
      <c r="F39" s="14"/>
      <c r="G39" s="14"/>
      <c r="H39" s="14"/>
      <c r="I39" s="71" t="s">
        <v>571</v>
      </c>
      <c r="J39" s="71">
        <v>2</v>
      </c>
      <c r="K39" s="14"/>
      <c r="L39" s="71"/>
      <c r="M39" s="71"/>
      <c r="N39" s="71"/>
      <c r="O39" s="71"/>
      <c r="P39" s="71"/>
      <c r="Q39" s="71"/>
      <c r="R39" s="71"/>
      <c r="S39" s="14"/>
      <c r="T39" s="71"/>
      <c r="U39" s="71"/>
      <c r="V39" s="14"/>
    </row>
    <row r="40" ht="17" customHeight="1" spans="1:22">
      <c r="A40" s="14"/>
      <c r="B40" s="14"/>
      <c r="C40" s="14"/>
      <c r="D40" s="14"/>
      <c r="E40" s="14"/>
      <c r="F40" s="14"/>
      <c r="G40" s="14"/>
      <c r="H40" s="14"/>
      <c r="I40" s="71" t="s">
        <v>572</v>
      </c>
      <c r="J40" s="71">
        <v>4</v>
      </c>
      <c r="K40" s="14"/>
      <c r="L40" s="71"/>
      <c r="M40" s="71"/>
      <c r="N40" s="71"/>
      <c r="O40" s="71"/>
      <c r="P40" s="71"/>
      <c r="Q40" s="71"/>
      <c r="R40" s="71"/>
      <c r="S40" s="14"/>
      <c r="T40" s="71"/>
      <c r="U40" s="71"/>
      <c r="V40" s="14"/>
    </row>
    <row r="41" ht="17" customHeight="1" spans="1:22">
      <c r="A41" s="14"/>
      <c r="B41" s="14"/>
      <c r="C41" s="14"/>
      <c r="D41" s="14"/>
      <c r="E41" s="14"/>
      <c r="F41" s="14"/>
      <c r="G41" s="14"/>
      <c r="H41" s="14"/>
      <c r="I41" s="71" t="s">
        <v>573</v>
      </c>
      <c r="J41" s="71">
        <v>6</v>
      </c>
      <c r="K41" s="14"/>
      <c r="L41" s="71"/>
      <c r="M41" s="71"/>
      <c r="N41" s="71"/>
      <c r="O41" s="71"/>
      <c r="P41" s="71"/>
      <c r="Q41" s="71"/>
      <c r="R41" s="71"/>
      <c r="S41" s="14"/>
      <c r="T41" s="71"/>
      <c r="U41" s="71"/>
      <c r="V41" s="14"/>
    </row>
    <row r="42" ht="17" customHeight="1" spans="1:22">
      <c r="A42" s="14"/>
      <c r="B42" s="14"/>
      <c r="C42" s="14"/>
      <c r="D42" s="14"/>
      <c r="E42" s="14"/>
      <c r="F42" s="14"/>
      <c r="G42" s="14"/>
      <c r="H42" s="14"/>
      <c r="I42" s="71" t="s">
        <v>574</v>
      </c>
      <c r="J42" s="71">
        <v>8</v>
      </c>
      <c r="K42" s="14"/>
      <c r="L42" s="71"/>
      <c r="M42" s="71"/>
      <c r="N42" s="71"/>
      <c r="O42" s="71"/>
      <c r="P42" s="71"/>
      <c r="Q42" s="71"/>
      <c r="R42" s="71"/>
      <c r="S42" s="14"/>
      <c r="T42" s="71"/>
      <c r="U42" s="71"/>
      <c r="V42" s="14"/>
    </row>
    <row r="43" ht="17" customHeight="1" spans="1:22">
      <c r="A43" s="14"/>
      <c r="B43" s="14"/>
      <c r="C43" s="15"/>
      <c r="D43" s="15"/>
      <c r="E43" s="15"/>
      <c r="F43" s="15"/>
      <c r="G43" s="15"/>
      <c r="H43" s="15"/>
      <c r="I43" s="71" t="s">
        <v>586</v>
      </c>
      <c r="J43" s="71">
        <v>10</v>
      </c>
      <c r="K43" s="15"/>
      <c r="L43" s="71"/>
      <c r="M43" s="71"/>
      <c r="N43" s="71"/>
      <c r="O43" s="71"/>
      <c r="P43" s="71"/>
      <c r="Q43" s="71"/>
      <c r="R43" s="71"/>
      <c r="S43" s="15"/>
      <c r="T43" s="71"/>
      <c r="U43" s="71"/>
      <c r="V43" s="15"/>
    </row>
    <row r="44" spans="1:22">
      <c r="A44" s="14"/>
      <c r="B44" s="14"/>
      <c r="C44" s="70" t="s">
        <v>166</v>
      </c>
      <c r="D44" s="71" t="s">
        <v>167</v>
      </c>
      <c r="E44" s="70" t="s">
        <v>556</v>
      </c>
      <c r="F44" s="70" t="s">
        <v>591</v>
      </c>
      <c r="G44" s="71"/>
      <c r="H44" s="71" t="s">
        <v>592</v>
      </c>
      <c r="I44" s="71">
        <v>0</v>
      </c>
      <c r="J44" s="71">
        <v>0</v>
      </c>
      <c r="K44" s="119" t="s">
        <v>570</v>
      </c>
      <c r="L44" s="71"/>
      <c r="M44" s="71"/>
      <c r="N44" s="71"/>
      <c r="O44" s="71"/>
      <c r="P44" s="71"/>
      <c r="Q44" s="71"/>
      <c r="R44" s="71"/>
      <c r="S44" s="70" t="s">
        <v>560</v>
      </c>
      <c r="T44" s="71"/>
      <c r="U44" s="71"/>
      <c r="V44" s="87">
        <v>0.1</v>
      </c>
    </row>
    <row r="45" ht="17" customHeight="1" spans="1:22">
      <c r="A45" s="14"/>
      <c r="B45" s="14"/>
      <c r="C45" s="14"/>
      <c r="D45" s="14"/>
      <c r="E45" s="14"/>
      <c r="F45" s="14"/>
      <c r="G45" s="14"/>
      <c r="H45" s="14"/>
      <c r="I45" s="71" t="s">
        <v>571</v>
      </c>
      <c r="J45" s="71">
        <v>2</v>
      </c>
      <c r="K45" s="14"/>
      <c r="L45" s="71"/>
      <c r="M45" s="71"/>
      <c r="N45" s="71"/>
      <c r="O45" s="71"/>
      <c r="P45" s="71"/>
      <c r="Q45" s="71"/>
      <c r="R45" s="71"/>
      <c r="S45" s="14"/>
      <c r="T45" s="71"/>
      <c r="U45" s="71"/>
      <c r="V45" s="14"/>
    </row>
    <row r="46" ht="17" customHeight="1" spans="1:22">
      <c r="A46" s="14"/>
      <c r="B46" s="14"/>
      <c r="C46" s="14"/>
      <c r="D46" s="14"/>
      <c r="E46" s="14"/>
      <c r="F46" s="14"/>
      <c r="G46" s="14"/>
      <c r="H46" s="14"/>
      <c r="I46" s="71" t="s">
        <v>572</v>
      </c>
      <c r="J46" s="71">
        <v>4</v>
      </c>
      <c r="K46" s="14"/>
      <c r="L46" s="71"/>
      <c r="M46" s="71"/>
      <c r="N46" s="71"/>
      <c r="O46" s="71"/>
      <c r="P46" s="71"/>
      <c r="Q46" s="71"/>
      <c r="R46" s="71"/>
      <c r="S46" s="14"/>
      <c r="T46" s="71"/>
      <c r="U46" s="71"/>
      <c r="V46" s="14"/>
    </row>
    <row r="47" ht="17" customHeight="1" spans="1:22">
      <c r="A47" s="14"/>
      <c r="B47" s="14"/>
      <c r="C47" s="14"/>
      <c r="D47" s="14"/>
      <c r="E47" s="14"/>
      <c r="F47" s="14"/>
      <c r="G47" s="14"/>
      <c r="H47" s="14"/>
      <c r="I47" s="71" t="s">
        <v>573</v>
      </c>
      <c r="J47" s="71">
        <v>6</v>
      </c>
      <c r="K47" s="14"/>
      <c r="L47" s="71"/>
      <c r="M47" s="71"/>
      <c r="N47" s="71"/>
      <c r="O47" s="71"/>
      <c r="P47" s="71"/>
      <c r="Q47" s="71"/>
      <c r="R47" s="71"/>
      <c r="S47" s="14"/>
      <c r="T47" s="71"/>
      <c r="U47" s="71"/>
      <c r="V47" s="14"/>
    </row>
    <row r="48" ht="17" customHeight="1" spans="1:22">
      <c r="A48" s="14"/>
      <c r="B48" s="14"/>
      <c r="C48" s="14"/>
      <c r="D48" s="14"/>
      <c r="E48" s="14"/>
      <c r="F48" s="14"/>
      <c r="G48" s="14"/>
      <c r="H48" s="14"/>
      <c r="I48" s="71" t="s">
        <v>574</v>
      </c>
      <c r="J48" s="71">
        <v>8</v>
      </c>
      <c r="K48" s="14"/>
      <c r="L48" s="71"/>
      <c r="M48" s="71"/>
      <c r="N48" s="71"/>
      <c r="O48" s="71"/>
      <c r="P48" s="71"/>
      <c r="Q48" s="71"/>
      <c r="R48" s="71"/>
      <c r="S48" s="14"/>
      <c r="T48" s="71"/>
      <c r="U48" s="71"/>
      <c r="V48" s="14"/>
    </row>
    <row r="49" ht="17" customHeight="1" spans="1:22">
      <c r="A49" s="15"/>
      <c r="B49" s="15"/>
      <c r="C49" s="15"/>
      <c r="D49" s="15"/>
      <c r="E49" s="15"/>
      <c r="F49" s="15"/>
      <c r="G49" s="15"/>
      <c r="H49" s="15"/>
      <c r="I49" s="71" t="s">
        <v>586</v>
      </c>
      <c r="J49" s="71">
        <v>10</v>
      </c>
      <c r="K49" s="15"/>
      <c r="L49" s="71"/>
      <c r="M49" s="71"/>
      <c r="N49" s="71"/>
      <c r="O49" s="71"/>
      <c r="P49" s="71"/>
      <c r="Q49" s="71"/>
      <c r="R49" s="71"/>
      <c r="S49" s="15"/>
      <c r="T49" s="71"/>
      <c r="U49" s="71"/>
      <c r="V49" s="15"/>
    </row>
    <row r="50" spans="1:22">
      <c r="A50" s="72" t="s">
        <v>593</v>
      </c>
      <c r="B50" s="74" t="s">
        <v>226</v>
      </c>
      <c r="C50" s="74" t="s">
        <v>234</v>
      </c>
      <c r="D50" s="75" t="s">
        <v>235</v>
      </c>
      <c r="E50" s="74" t="s">
        <v>556</v>
      </c>
      <c r="F50" s="74" t="s">
        <v>594</v>
      </c>
      <c r="G50" s="79"/>
      <c r="H50" s="75" t="s">
        <v>595</v>
      </c>
      <c r="I50" s="79" t="s">
        <v>596</v>
      </c>
      <c r="J50" s="79">
        <v>0</v>
      </c>
      <c r="K50" s="120" t="s">
        <v>559</v>
      </c>
      <c r="L50" s="75"/>
      <c r="M50" s="75"/>
      <c r="N50" s="75"/>
      <c r="O50" s="75"/>
      <c r="P50" s="75"/>
      <c r="Q50" s="75"/>
      <c r="R50" s="75"/>
      <c r="S50" s="80" t="s">
        <v>560</v>
      </c>
      <c r="T50" s="75"/>
      <c r="U50" s="75"/>
      <c r="V50" s="87">
        <v>1</v>
      </c>
    </row>
    <row r="51" spans="1:22">
      <c r="A51" s="14"/>
      <c r="B51" s="14"/>
      <c r="C51" s="14"/>
      <c r="D51" s="14"/>
      <c r="E51" s="14"/>
      <c r="F51" s="14"/>
      <c r="G51" s="14"/>
      <c r="H51" s="14"/>
      <c r="I51" s="79" t="s">
        <v>597</v>
      </c>
      <c r="J51" s="79">
        <v>2.5</v>
      </c>
      <c r="K51" s="14"/>
      <c r="L51" s="75"/>
      <c r="M51" s="75"/>
      <c r="N51" s="75"/>
      <c r="O51" s="75"/>
      <c r="P51" s="75"/>
      <c r="Q51" s="75"/>
      <c r="R51" s="75"/>
      <c r="S51" s="14"/>
      <c r="T51" s="75"/>
      <c r="U51" s="75"/>
      <c r="V51" s="14"/>
    </row>
    <row r="52" spans="1:22">
      <c r="A52" s="14"/>
      <c r="B52" s="14"/>
      <c r="C52" s="14"/>
      <c r="D52" s="14"/>
      <c r="E52" s="14"/>
      <c r="F52" s="14"/>
      <c r="G52" s="14"/>
      <c r="H52" s="14"/>
      <c r="I52" s="79" t="s">
        <v>598</v>
      </c>
      <c r="J52" s="79">
        <v>5</v>
      </c>
      <c r="K52" s="14"/>
      <c r="L52" s="75"/>
      <c r="M52" s="75"/>
      <c r="N52" s="75"/>
      <c r="O52" s="75"/>
      <c r="P52" s="75"/>
      <c r="Q52" s="75"/>
      <c r="R52" s="75"/>
      <c r="S52" s="14"/>
      <c r="T52" s="75"/>
      <c r="U52" s="75"/>
      <c r="V52" s="14"/>
    </row>
    <row r="53" spans="1:22">
      <c r="A53" s="14"/>
      <c r="B53" s="14"/>
      <c r="C53" s="14"/>
      <c r="D53" s="14"/>
      <c r="E53" s="14"/>
      <c r="F53" s="14"/>
      <c r="G53" s="14"/>
      <c r="H53" s="14"/>
      <c r="I53" s="79" t="s">
        <v>599</v>
      </c>
      <c r="J53" s="79">
        <v>7.5</v>
      </c>
      <c r="K53" s="14"/>
      <c r="L53" s="75"/>
      <c r="M53" s="75"/>
      <c r="N53" s="75"/>
      <c r="O53" s="75"/>
      <c r="P53" s="75"/>
      <c r="Q53" s="75"/>
      <c r="R53" s="75"/>
      <c r="S53" s="14"/>
      <c r="T53" s="75"/>
      <c r="U53" s="75"/>
      <c r="V53" s="14"/>
    </row>
    <row r="54" spans="1:22">
      <c r="A54" s="14"/>
      <c r="B54" s="14"/>
      <c r="C54" s="15"/>
      <c r="D54" s="15"/>
      <c r="E54" s="15"/>
      <c r="F54" s="15"/>
      <c r="G54" s="15"/>
      <c r="H54" s="15"/>
      <c r="I54" s="79" t="s">
        <v>600</v>
      </c>
      <c r="J54" s="79">
        <v>10</v>
      </c>
      <c r="K54" s="15"/>
      <c r="L54" s="75"/>
      <c r="M54" s="75"/>
      <c r="N54" s="75"/>
      <c r="O54" s="75"/>
      <c r="P54" s="75"/>
      <c r="Q54" s="75"/>
      <c r="R54" s="75"/>
      <c r="S54" s="15"/>
      <c r="T54" s="75"/>
      <c r="U54" s="75"/>
      <c r="V54" s="15"/>
    </row>
    <row r="55" spans="1:22">
      <c r="A55" s="14"/>
      <c r="B55" s="14"/>
      <c r="C55" s="74" t="s">
        <v>247</v>
      </c>
      <c r="D55" s="75" t="s">
        <v>248</v>
      </c>
      <c r="E55" s="80" t="s">
        <v>601</v>
      </c>
      <c r="F55" s="80" t="s">
        <v>602</v>
      </c>
      <c r="G55" s="79"/>
      <c r="H55" s="75" t="s">
        <v>603</v>
      </c>
      <c r="I55" s="79" t="s">
        <v>604</v>
      </c>
      <c r="J55" s="79">
        <v>0</v>
      </c>
      <c r="K55" s="120" t="s">
        <v>605</v>
      </c>
      <c r="L55" s="75"/>
      <c r="M55" s="75"/>
      <c r="N55" s="75"/>
      <c r="O55" s="75"/>
      <c r="P55" s="75"/>
      <c r="Q55" s="75"/>
      <c r="R55" s="75"/>
      <c r="S55" s="80" t="s">
        <v>606</v>
      </c>
      <c r="T55" s="75"/>
      <c r="U55" s="75"/>
      <c r="V55" s="87">
        <v>1</v>
      </c>
    </row>
    <row r="56" ht="84" customHeight="1" spans="1:22">
      <c r="A56" s="14"/>
      <c r="B56" s="14"/>
      <c r="C56" s="14"/>
      <c r="D56" s="14"/>
      <c r="E56" s="14"/>
      <c r="F56" s="14"/>
      <c r="G56" s="14"/>
      <c r="H56" s="14"/>
      <c r="I56" s="79" t="s">
        <v>607</v>
      </c>
      <c r="J56" s="75" t="s">
        <v>608</v>
      </c>
      <c r="K56" s="14"/>
      <c r="L56" s="75"/>
      <c r="M56" s="75"/>
      <c r="N56" s="75"/>
      <c r="O56" s="75"/>
      <c r="P56" s="75"/>
      <c r="Q56" s="75"/>
      <c r="R56" s="75"/>
      <c r="S56" s="14"/>
      <c r="T56" s="75"/>
      <c r="U56" s="75"/>
      <c r="V56" s="14"/>
    </row>
    <row r="57" spans="1:22">
      <c r="A57" s="14"/>
      <c r="B57" s="14"/>
      <c r="C57" s="14"/>
      <c r="D57" s="14"/>
      <c r="E57" s="14"/>
      <c r="F57" s="15"/>
      <c r="G57" s="15"/>
      <c r="H57" s="15"/>
      <c r="I57" s="79" t="s">
        <v>609</v>
      </c>
      <c r="J57" s="79">
        <v>10</v>
      </c>
      <c r="K57" s="14"/>
      <c r="L57" s="75"/>
      <c r="M57" s="75"/>
      <c r="N57" s="75"/>
      <c r="O57" s="75"/>
      <c r="P57" s="75"/>
      <c r="Q57" s="75"/>
      <c r="R57" s="75"/>
      <c r="S57" s="14"/>
      <c r="T57" s="75"/>
      <c r="U57" s="75"/>
      <c r="V57" s="14"/>
    </row>
    <row r="58" spans="1:22">
      <c r="A58" s="14"/>
      <c r="B58" s="14"/>
      <c r="C58" s="14"/>
      <c r="D58" s="14"/>
      <c r="E58" s="14"/>
      <c r="F58" s="80" t="s">
        <v>610</v>
      </c>
      <c r="G58" s="75"/>
      <c r="H58" s="75" t="s">
        <v>611</v>
      </c>
      <c r="I58" s="79" t="s">
        <v>612</v>
      </c>
      <c r="J58" s="79">
        <v>0</v>
      </c>
      <c r="K58" s="14"/>
      <c r="L58" s="75"/>
      <c r="M58" s="75"/>
      <c r="N58" s="75"/>
      <c r="O58" s="75"/>
      <c r="P58" s="75"/>
      <c r="Q58" s="75"/>
      <c r="R58" s="75"/>
      <c r="S58" s="14"/>
      <c r="T58" s="75"/>
      <c r="U58" s="75"/>
      <c r="V58" s="14"/>
    </row>
    <row r="59" ht="68" customHeight="1" spans="1:22">
      <c r="A59" s="14"/>
      <c r="B59" s="14"/>
      <c r="C59" s="14"/>
      <c r="D59" s="14"/>
      <c r="E59" s="14"/>
      <c r="F59" s="14"/>
      <c r="G59" s="14"/>
      <c r="H59" s="14"/>
      <c r="I59" s="79" t="s">
        <v>613</v>
      </c>
      <c r="J59" s="75" t="s">
        <v>614</v>
      </c>
      <c r="K59" s="14"/>
      <c r="L59" s="75"/>
      <c r="M59" s="75"/>
      <c r="N59" s="75"/>
      <c r="O59" s="75"/>
      <c r="P59" s="75"/>
      <c r="Q59" s="75"/>
      <c r="R59" s="75"/>
      <c r="S59" s="14"/>
      <c r="T59" s="75"/>
      <c r="U59" s="75"/>
      <c r="V59" s="14"/>
    </row>
    <row r="60" spans="1:22">
      <c r="A60" s="14"/>
      <c r="B60" s="14"/>
      <c r="C60" s="15"/>
      <c r="D60" s="15"/>
      <c r="E60" s="15"/>
      <c r="F60" s="15"/>
      <c r="G60" s="15"/>
      <c r="H60" s="15"/>
      <c r="I60" s="79" t="s">
        <v>615</v>
      </c>
      <c r="J60" s="79">
        <v>10</v>
      </c>
      <c r="K60" s="15"/>
      <c r="L60" s="75"/>
      <c r="M60" s="75"/>
      <c r="N60" s="75"/>
      <c r="O60" s="75"/>
      <c r="P60" s="75"/>
      <c r="Q60" s="75"/>
      <c r="R60" s="75"/>
      <c r="S60" s="15"/>
      <c r="T60" s="75"/>
      <c r="U60" s="75"/>
      <c r="V60" s="15"/>
    </row>
    <row r="61" spans="1:22">
      <c r="A61" s="14"/>
      <c r="B61" s="14"/>
      <c r="C61" s="74" t="s">
        <v>261</v>
      </c>
      <c r="D61" s="75" t="s">
        <v>262</v>
      </c>
      <c r="E61" s="80" t="s">
        <v>601</v>
      </c>
      <c r="F61" s="80" t="s">
        <v>602</v>
      </c>
      <c r="G61" s="79"/>
      <c r="H61" s="75" t="s">
        <v>616</v>
      </c>
      <c r="I61" s="79" t="s">
        <v>604</v>
      </c>
      <c r="J61" s="79">
        <v>0</v>
      </c>
      <c r="K61" s="120" t="s">
        <v>605</v>
      </c>
      <c r="L61" s="75"/>
      <c r="M61" s="75"/>
      <c r="N61" s="75"/>
      <c r="O61" s="75"/>
      <c r="P61" s="75"/>
      <c r="Q61" s="75"/>
      <c r="R61" s="75"/>
      <c r="S61" s="80" t="s">
        <v>606</v>
      </c>
      <c r="T61" s="75"/>
      <c r="U61" s="75"/>
      <c r="V61" s="87">
        <v>0.3</v>
      </c>
    </row>
    <row r="62" ht="84" customHeight="1" spans="1:22">
      <c r="A62" s="14"/>
      <c r="B62" s="14"/>
      <c r="C62" s="14"/>
      <c r="D62" s="14"/>
      <c r="E62" s="14"/>
      <c r="F62" s="14"/>
      <c r="G62" s="14"/>
      <c r="H62" s="14"/>
      <c r="I62" s="79" t="s">
        <v>607</v>
      </c>
      <c r="J62" s="75" t="s">
        <v>608</v>
      </c>
      <c r="K62" s="14"/>
      <c r="L62" s="75"/>
      <c r="M62" s="75"/>
      <c r="N62" s="75"/>
      <c r="O62" s="75"/>
      <c r="P62" s="75"/>
      <c r="Q62" s="75"/>
      <c r="R62" s="75"/>
      <c r="S62" s="14"/>
      <c r="T62" s="75"/>
      <c r="U62" s="75"/>
      <c r="V62" s="14"/>
    </row>
    <row r="63" spans="1:22">
      <c r="A63" s="14"/>
      <c r="B63" s="14"/>
      <c r="C63" s="14"/>
      <c r="D63" s="14"/>
      <c r="E63" s="14"/>
      <c r="F63" s="15"/>
      <c r="G63" s="15"/>
      <c r="H63" s="15"/>
      <c r="I63" s="79" t="s">
        <v>609</v>
      </c>
      <c r="J63" s="79">
        <v>10</v>
      </c>
      <c r="K63" s="14"/>
      <c r="L63" s="75"/>
      <c r="M63" s="75"/>
      <c r="N63" s="75"/>
      <c r="O63" s="75"/>
      <c r="P63" s="75"/>
      <c r="Q63" s="75"/>
      <c r="R63" s="75"/>
      <c r="S63" s="14"/>
      <c r="T63" s="75"/>
      <c r="U63" s="75"/>
      <c r="V63" s="14"/>
    </row>
    <row r="64" spans="1:22">
      <c r="A64" s="14"/>
      <c r="B64" s="14"/>
      <c r="C64" s="14"/>
      <c r="D64" s="14"/>
      <c r="E64" s="14"/>
      <c r="F64" s="80" t="s">
        <v>610</v>
      </c>
      <c r="G64" s="75"/>
      <c r="H64" s="75" t="s">
        <v>617</v>
      </c>
      <c r="I64" s="79" t="s">
        <v>618</v>
      </c>
      <c r="J64" s="79">
        <v>0</v>
      </c>
      <c r="K64" s="14"/>
      <c r="L64" s="75"/>
      <c r="M64" s="75"/>
      <c r="N64" s="75"/>
      <c r="O64" s="75"/>
      <c r="P64" s="75"/>
      <c r="Q64" s="75"/>
      <c r="R64" s="75"/>
      <c r="S64" s="14"/>
      <c r="T64" s="75"/>
      <c r="U64" s="75"/>
      <c r="V64" s="14"/>
    </row>
    <row r="65" ht="68" customHeight="1" spans="1:22">
      <c r="A65" s="14"/>
      <c r="B65" s="14"/>
      <c r="C65" s="14"/>
      <c r="D65" s="14"/>
      <c r="E65" s="14"/>
      <c r="F65" s="14"/>
      <c r="G65" s="14"/>
      <c r="H65" s="14"/>
      <c r="I65" s="79" t="s">
        <v>613</v>
      </c>
      <c r="J65" s="75" t="s">
        <v>619</v>
      </c>
      <c r="K65" s="14"/>
      <c r="L65" s="75"/>
      <c r="M65" s="75"/>
      <c r="N65" s="75"/>
      <c r="O65" s="75"/>
      <c r="P65" s="75"/>
      <c r="Q65" s="75"/>
      <c r="R65" s="75"/>
      <c r="S65" s="14"/>
      <c r="T65" s="75"/>
      <c r="U65" s="75"/>
      <c r="V65" s="14"/>
    </row>
    <row r="66" spans="1:22">
      <c r="A66" s="14"/>
      <c r="B66" s="15"/>
      <c r="C66" s="15"/>
      <c r="D66" s="15"/>
      <c r="E66" s="15"/>
      <c r="F66" s="15"/>
      <c r="G66" s="15"/>
      <c r="H66" s="15"/>
      <c r="I66" s="79" t="s">
        <v>615</v>
      </c>
      <c r="J66" s="79">
        <v>10</v>
      </c>
      <c r="K66" s="15"/>
      <c r="L66" s="75"/>
      <c r="M66" s="75"/>
      <c r="N66" s="75"/>
      <c r="O66" s="75"/>
      <c r="P66" s="75"/>
      <c r="Q66" s="75"/>
      <c r="R66" s="75"/>
      <c r="S66" s="15"/>
      <c r="T66" s="75"/>
      <c r="U66" s="75"/>
      <c r="V66" s="15"/>
    </row>
    <row r="67" spans="1:22">
      <c r="A67" s="14"/>
      <c r="B67" s="80" t="s">
        <v>279</v>
      </c>
      <c r="C67" s="74" t="s">
        <v>280</v>
      </c>
      <c r="D67" s="75" t="s">
        <v>620</v>
      </c>
      <c r="E67" s="80" t="s">
        <v>601</v>
      </c>
      <c r="F67" s="80" t="s">
        <v>602</v>
      </c>
      <c r="G67" s="79"/>
      <c r="H67" s="75" t="s">
        <v>621</v>
      </c>
      <c r="I67" s="79" t="s">
        <v>604</v>
      </c>
      <c r="J67" s="79">
        <v>0</v>
      </c>
      <c r="K67" s="120" t="s">
        <v>622</v>
      </c>
      <c r="L67" s="75"/>
      <c r="M67" s="75"/>
      <c r="N67" s="75"/>
      <c r="O67" s="75"/>
      <c r="P67" s="75"/>
      <c r="Q67" s="75"/>
      <c r="R67" s="75"/>
      <c r="S67" s="80" t="s">
        <v>560</v>
      </c>
      <c r="T67" s="75"/>
      <c r="U67" s="75"/>
      <c r="V67" s="87">
        <v>0.3</v>
      </c>
    </row>
    <row r="68" ht="84" customHeight="1" spans="1:22">
      <c r="A68" s="14"/>
      <c r="B68" s="14"/>
      <c r="C68" s="14"/>
      <c r="D68" s="14"/>
      <c r="E68" s="14"/>
      <c r="F68" s="14"/>
      <c r="G68" s="14"/>
      <c r="H68" s="14"/>
      <c r="I68" s="79" t="s">
        <v>607</v>
      </c>
      <c r="J68" s="75" t="s">
        <v>608</v>
      </c>
      <c r="K68" s="14"/>
      <c r="L68" s="75"/>
      <c r="M68" s="75"/>
      <c r="N68" s="75"/>
      <c r="O68" s="75"/>
      <c r="P68" s="75"/>
      <c r="Q68" s="75"/>
      <c r="R68" s="75"/>
      <c r="S68" s="14"/>
      <c r="T68" s="75"/>
      <c r="U68" s="75"/>
      <c r="V68" s="14"/>
    </row>
    <row r="69" spans="1:22">
      <c r="A69" s="14"/>
      <c r="B69" s="14"/>
      <c r="C69" s="14"/>
      <c r="D69" s="14"/>
      <c r="E69" s="14"/>
      <c r="F69" s="15"/>
      <c r="G69" s="15"/>
      <c r="H69" s="15"/>
      <c r="I69" s="79" t="s">
        <v>609</v>
      </c>
      <c r="J69" s="79">
        <v>10</v>
      </c>
      <c r="K69" s="14"/>
      <c r="L69" s="75"/>
      <c r="M69" s="75"/>
      <c r="N69" s="75"/>
      <c r="O69" s="75"/>
      <c r="P69" s="75"/>
      <c r="Q69" s="75"/>
      <c r="R69" s="75"/>
      <c r="S69" s="14"/>
      <c r="T69" s="75"/>
      <c r="U69" s="75"/>
      <c r="V69" s="14"/>
    </row>
    <row r="70" spans="1:22">
      <c r="A70" s="14"/>
      <c r="B70" s="14"/>
      <c r="C70" s="14"/>
      <c r="D70" s="14"/>
      <c r="E70" s="14"/>
      <c r="F70" s="80" t="s">
        <v>610</v>
      </c>
      <c r="G70" s="75"/>
      <c r="H70" s="75" t="s">
        <v>623</v>
      </c>
      <c r="I70" s="79" t="s">
        <v>618</v>
      </c>
      <c r="J70" s="79">
        <v>0</v>
      </c>
      <c r="K70" s="14"/>
      <c r="L70" s="75"/>
      <c r="M70" s="75"/>
      <c r="N70" s="75"/>
      <c r="O70" s="75"/>
      <c r="P70" s="75"/>
      <c r="Q70" s="75"/>
      <c r="R70" s="75"/>
      <c r="S70" s="14"/>
      <c r="T70" s="75"/>
      <c r="U70" s="75"/>
      <c r="V70" s="14"/>
    </row>
    <row r="71" ht="68" customHeight="1" spans="1:22">
      <c r="A71" s="14"/>
      <c r="B71" s="14"/>
      <c r="C71" s="14"/>
      <c r="D71" s="14"/>
      <c r="E71" s="14"/>
      <c r="F71" s="14"/>
      <c r="G71" s="14"/>
      <c r="H71" s="14"/>
      <c r="I71" s="79" t="s">
        <v>613</v>
      </c>
      <c r="J71" s="75" t="s">
        <v>619</v>
      </c>
      <c r="K71" s="14"/>
      <c r="L71" s="75"/>
      <c r="M71" s="75"/>
      <c r="N71" s="75"/>
      <c r="O71" s="75"/>
      <c r="P71" s="75"/>
      <c r="Q71" s="75"/>
      <c r="R71" s="75"/>
      <c r="S71" s="14"/>
      <c r="T71" s="75"/>
      <c r="U71" s="75"/>
      <c r="V71" s="14"/>
    </row>
    <row r="72" spans="1:22">
      <c r="A72" s="14"/>
      <c r="B72" s="14"/>
      <c r="C72" s="14"/>
      <c r="D72" s="15"/>
      <c r="E72" s="15"/>
      <c r="F72" s="15"/>
      <c r="G72" s="15"/>
      <c r="H72" s="15"/>
      <c r="I72" s="79" t="s">
        <v>615</v>
      </c>
      <c r="J72" s="79">
        <v>10</v>
      </c>
      <c r="K72" s="15"/>
      <c r="L72" s="75"/>
      <c r="M72" s="75"/>
      <c r="N72" s="75"/>
      <c r="O72" s="75"/>
      <c r="P72" s="75"/>
      <c r="Q72" s="75"/>
      <c r="R72" s="75"/>
      <c r="S72" s="15"/>
      <c r="T72" s="75"/>
      <c r="U72" s="75"/>
      <c r="V72" s="15"/>
    </row>
    <row r="73" spans="1:22">
      <c r="A73" s="14"/>
      <c r="B73" s="14"/>
      <c r="C73" s="14"/>
      <c r="D73" s="75" t="s">
        <v>291</v>
      </c>
      <c r="E73" s="80" t="s">
        <v>601</v>
      </c>
      <c r="F73" s="80" t="s">
        <v>602</v>
      </c>
      <c r="G73" s="75"/>
      <c r="H73" s="75" t="s">
        <v>624</v>
      </c>
      <c r="I73" s="79" t="s">
        <v>604</v>
      </c>
      <c r="J73" s="79">
        <v>0</v>
      </c>
      <c r="K73" s="125" t="s">
        <v>622</v>
      </c>
      <c r="L73" s="75"/>
      <c r="M73" s="75"/>
      <c r="N73" s="75"/>
      <c r="O73" s="75"/>
      <c r="P73" s="75"/>
      <c r="Q73" s="75"/>
      <c r="R73" s="75"/>
      <c r="S73" s="80" t="s">
        <v>560</v>
      </c>
      <c r="T73" s="75"/>
      <c r="U73" s="75"/>
      <c r="V73" s="87">
        <v>0.2</v>
      </c>
    </row>
    <row r="74" ht="84" customHeight="1" spans="1:22">
      <c r="A74" s="14"/>
      <c r="B74" s="14"/>
      <c r="C74" s="14"/>
      <c r="D74" s="14"/>
      <c r="E74" s="14"/>
      <c r="F74" s="14"/>
      <c r="G74" s="14"/>
      <c r="H74" s="14"/>
      <c r="I74" s="79" t="s">
        <v>607</v>
      </c>
      <c r="J74" s="75" t="s">
        <v>608</v>
      </c>
      <c r="K74" s="14"/>
      <c r="L74" s="75"/>
      <c r="M74" s="75"/>
      <c r="N74" s="75"/>
      <c r="O74" s="75"/>
      <c r="P74" s="75"/>
      <c r="Q74" s="75"/>
      <c r="R74" s="75"/>
      <c r="S74" s="14"/>
      <c r="T74" s="75"/>
      <c r="U74" s="75"/>
      <c r="V74" s="14"/>
    </row>
    <row r="75" spans="1:22">
      <c r="A75" s="14"/>
      <c r="B75" s="14"/>
      <c r="C75" s="14"/>
      <c r="D75" s="14"/>
      <c r="E75" s="14"/>
      <c r="F75" s="15"/>
      <c r="G75" s="15"/>
      <c r="H75" s="15"/>
      <c r="I75" s="79" t="s">
        <v>609</v>
      </c>
      <c r="J75" s="79">
        <v>10</v>
      </c>
      <c r="K75" s="14"/>
      <c r="L75" s="75"/>
      <c r="M75" s="75"/>
      <c r="N75" s="75"/>
      <c r="O75" s="75"/>
      <c r="P75" s="75"/>
      <c r="Q75" s="75"/>
      <c r="R75" s="75"/>
      <c r="S75" s="14"/>
      <c r="T75" s="75"/>
      <c r="U75" s="75"/>
      <c r="V75" s="14"/>
    </row>
    <row r="76" spans="1:22">
      <c r="A76" s="14"/>
      <c r="B76" s="14"/>
      <c r="C76" s="14"/>
      <c r="D76" s="14"/>
      <c r="E76" s="14"/>
      <c r="F76" s="80" t="s">
        <v>610</v>
      </c>
      <c r="G76" s="75"/>
      <c r="H76" s="75" t="s">
        <v>625</v>
      </c>
      <c r="I76" s="79" t="s">
        <v>618</v>
      </c>
      <c r="J76" s="79">
        <v>0</v>
      </c>
      <c r="K76" s="14"/>
      <c r="L76" s="75"/>
      <c r="M76" s="75"/>
      <c r="N76" s="75"/>
      <c r="O76" s="75"/>
      <c r="P76" s="75"/>
      <c r="Q76" s="75"/>
      <c r="R76" s="75"/>
      <c r="S76" s="14"/>
      <c r="T76" s="75"/>
      <c r="U76" s="75"/>
      <c r="V76" s="14"/>
    </row>
    <row r="77" ht="68" customHeight="1" spans="1:22">
      <c r="A77" s="14"/>
      <c r="B77" s="14"/>
      <c r="C77" s="14"/>
      <c r="D77" s="14"/>
      <c r="E77" s="14"/>
      <c r="F77" s="14"/>
      <c r="G77" s="14"/>
      <c r="H77" s="14"/>
      <c r="I77" s="79" t="s">
        <v>613</v>
      </c>
      <c r="J77" s="75" t="s">
        <v>619</v>
      </c>
      <c r="K77" s="14"/>
      <c r="L77" s="75"/>
      <c r="M77" s="75"/>
      <c r="N77" s="75"/>
      <c r="O77" s="75"/>
      <c r="P77" s="75"/>
      <c r="Q77" s="75"/>
      <c r="R77" s="75"/>
      <c r="S77" s="14"/>
      <c r="T77" s="75"/>
      <c r="U77" s="75"/>
      <c r="V77" s="14"/>
    </row>
    <row r="78" spans="1:22">
      <c r="A78" s="14"/>
      <c r="B78" s="15"/>
      <c r="C78" s="15"/>
      <c r="D78" s="15"/>
      <c r="E78" s="15"/>
      <c r="F78" s="15"/>
      <c r="G78" s="15"/>
      <c r="H78" s="15"/>
      <c r="I78" s="79" t="s">
        <v>615</v>
      </c>
      <c r="J78" s="79">
        <v>10</v>
      </c>
      <c r="K78" s="15"/>
      <c r="L78" s="75"/>
      <c r="M78" s="75"/>
      <c r="N78" s="75"/>
      <c r="O78" s="75"/>
      <c r="P78" s="75"/>
      <c r="Q78" s="75"/>
      <c r="R78" s="75"/>
      <c r="S78" s="15"/>
      <c r="T78" s="75"/>
      <c r="U78" s="75"/>
      <c r="V78" s="15"/>
    </row>
    <row r="79" spans="1:22">
      <c r="A79" s="14"/>
      <c r="B79" s="80" t="s">
        <v>306</v>
      </c>
      <c r="C79" s="80" t="s">
        <v>307</v>
      </c>
      <c r="D79" s="75" t="s">
        <v>626</v>
      </c>
      <c r="E79" s="80" t="s">
        <v>601</v>
      </c>
      <c r="F79" s="80" t="s">
        <v>602</v>
      </c>
      <c r="G79" s="75"/>
      <c r="H79" s="75" t="s">
        <v>627</v>
      </c>
      <c r="I79" s="79" t="s">
        <v>604</v>
      </c>
      <c r="J79" s="79">
        <v>0</v>
      </c>
      <c r="K79" s="120" t="s">
        <v>622</v>
      </c>
      <c r="L79" s="75"/>
      <c r="M79" s="75"/>
      <c r="N79" s="75"/>
      <c r="O79" s="75"/>
      <c r="P79" s="75"/>
      <c r="Q79" s="75"/>
      <c r="R79" s="75"/>
      <c r="S79" s="80" t="s">
        <v>560</v>
      </c>
      <c r="T79" s="75"/>
      <c r="U79" s="75"/>
      <c r="V79" s="87">
        <v>0.6</v>
      </c>
    </row>
    <row r="80" ht="84" customHeight="1" spans="1:22">
      <c r="A80" s="14"/>
      <c r="B80" s="14"/>
      <c r="C80" s="14"/>
      <c r="D80" s="14"/>
      <c r="E80" s="14"/>
      <c r="F80" s="14"/>
      <c r="G80" s="14"/>
      <c r="H80" s="14"/>
      <c r="I80" s="79" t="s">
        <v>607</v>
      </c>
      <c r="J80" s="75" t="s">
        <v>608</v>
      </c>
      <c r="K80" s="14"/>
      <c r="L80" s="75"/>
      <c r="M80" s="75"/>
      <c r="N80" s="75"/>
      <c r="O80" s="75"/>
      <c r="P80" s="75"/>
      <c r="Q80" s="75"/>
      <c r="R80" s="75"/>
      <c r="S80" s="14"/>
      <c r="T80" s="75"/>
      <c r="U80" s="75"/>
      <c r="V80" s="14"/>
    </row>
    <row r="81" spans="1:22">
      <c r="A81" s="14"/>
      <c r="B81" s="14"/>
      <c r="C81" s="14"/>
      <c r="D81" s="14"/>
      <c r="E81" s="14"/>
      <c r="F81" s="15"/>
      <c r="G81" s="15"/>
      <c r="H81" s="15"/>
      <c r="I81" s="79" t="s">
        <v>609</v>
      </c>
      <c r="J81" s="79">
        <v>10</v>
      </c>
      <c r="K81" s="14"/>
      <c r="L81" s="75"/>
      <c r="M81" s="75"/>
      <c r="N81" s="75"/>
      <c r="O81" s="75"/>
      <c r="P81" s="75"/>
      <c r="Q81" s="75"/>
      <c r="R81" s="75"/>
      <c r="S81" s="14"/>
      <c r="T81" s="75"/>
      <c r="U81" s="75"/>
      <c r="V81" s="14"/>
    </row>
    <row r="82" spans="1:22">
      <c r="A82" s="14"/>
      <c r="B82" s="14"/>
      <c r="C82" s="14"/>
      <c r="D82" s="14"/>
      <c r="E82" s="14"/>
      <c r="F82" s="80" t="s">
        <v>610</v>
      </c>
      <c r="G82" s="75"/>
      <c r="H82" s="75" t="s">
        <v>628</v>
      </c>
      <c r="I82" s="79" t="s">
        <v>618</v>
      </c>
      <c r="J82" s="79">
        <v>0</v>
      </c>
      <c r="K82" s="14"/>
      <c r="L82" s="75"/>
      <c r="M82" s="75"/>
      <c r="N82" s="75"/>
      <c r="O82" s="75"/>
      <c r="P82" s="75"/>
      <c r="Q82" s="75"/>
      <c r="R82" s="75"/>
      <c r="S82" s="14"/>
      <c r="T82" s="75"/>
      <c r="U82" s="75"/>
      <c r="V82" s="14"/>
    </row>
    <row r="83" ht="68" customHeight="1" spans="1:22">
      <c r="A83" s="14"/>
      <c r="B83" s="14"/>
      <c r="C83" s="14"/>
      <c r="D83" s="14"/>
      <c r="E83" s="14"/>
      <c r="F83" s="14"/>
      <c r="G83" s="14"/>
      <c r="H83" s="14"/>
      <c r="I83" s="79" t="s">
        <v>613</v>
      </c>
      <c r="J83" s="75" t="s">
        <v>619</v>
      </c>
      <c r="K83" s="14"/>
      <c r="L83" s="75"/>
      <c r="M83" s="75"/>
      <c r="N83" s="75"/>
      <c r="O83" s="75"/>
      <c r="P83" s="75"/>
      <c r="Q83" s="75"/>
      <c r="R83" s="75"/>
      <c r="S83" s="14"/>
      <c r="T83" s="75"/>
      <c r="U83" s="75"/>
      <c r="V83" s="14"/>
    </row>
    <row r="84" spans="1:22">
      <c r="A84" s="14"/>
      <c r="B84" s="15"/>
      <c r="C84" s="15"/>
      <c r="D84" s="15"/>
      <c r="E84" s="15"/>
      <c r="F84" s="15"/>
      <c r="G84" s="15"/>
      <c r="H84" s="15"/>
      <c r="I84" s="79" t="s">
        <v>615</v>
      </c>
      <c r="J84" s="79">
        <v>10</v>
      </c>
      <c r="K84" s="15"/>
      <c r="L84" s="75"/>
      <c r="M84" s="75"/>
      <c r="N84" s="75"/>
      <c r="O84" s="75"/>
      <c r="P84" s="75"/>
      <c r="Q84" s="75"/>
      <c r="R84" s="75"/>
      <c r="S84" s="15"/>
      <c r="T84" s="75"/>
      <c r="U84" s="75"/>
      <c r="V84" s="15"/>
    </row>
    <row r="85" spans="1:22">
      <c r="A85" s="14"/>
      <c r="B85" s="80" t="s">
        <v>326</v>
      </c>
      <c r="C85" s="80" t="s">
        <v>327</v>
      </c>
      <c r="D85" s="75" t="s">
        <v>328</v>
      </c>
      <c r="E85" s="80" t="s">
        <v>629</v>
      </c>
      <c r="F85" s="80" t="s">
        <v>630</v>
      </c>
      <c r="G85" s="75"/>
      <c r="H85" s="75" t="s">
        <v>631</v>
      </c>
      <c r="I85" s="79" t="s">
        <v>581</v>
      </c>
      <c r="J85" s="75">
        <v>0</v>
      </c>
      <c r="K85" s="120" t="s">
        <v>570</v>
      </c>
      <c r="L85" s="75"/>
      <c r="M85" s="75"/>
      <c r="N85" s="75"/>
      <c r="O85" s="75"/>
      <c r="P85" s="75"/>
      <c r="Q85" s="75"/>
      <c r="R85" s="75"/>
      <c r="S85" s="80" t="s">
        <v>560</v>
      </c>
      <c r="T85" s="75"/>
      <c r="U85" s="75"/>
      <c r="V85" s="87">
        <v>0.1</v>
      </c>
    </row>
    <row r="86" spans="1:22">
      <c r="A86" s="14"/>
      <c r="B86" s="14"/>
      <c r="C86" s="14"/>
      <c r="D86" s="14"/>
      <c r="E86" s="14"/>
      <c r="F86" s="15"/>
      <c r="G86" s="15"/>
      <c r="H86" s="15"/>
      <c r="I86" s="79" t="s">
        <v>582</v>
      </c>
      <c r="J86" s="75">
        <v>5</v>
      </c>
      <c r="K86" s="14"/>
      <c r="L86" s="75"/>
      <c r="M86" s="75"/>
      <c r="N86" s="75"/>
      <c r="O86" s="75"/>
      <c r="P86" s="75"/>
      <c r="Q86" s="75"/>
      <c r="R86" s="75"/>
      <c r="S86" s="14"/>
      <c r="T86" s="75"/>
      <c r="U86" s="75"/>
      <c r="V86" s="14"/>
    </row>
    <row r="87" spans="1:22">
      <c r="A87" s="14"/>
      <c r="B87" s="14"/>
      <c r="C87" s="14"/>
      <c r="D87" s="14"/>
      <c r="E87" s="14"/>
      <c r="F87" s="80" t="s">
        <v>632</v>
      </c>
      <c r="G87" s="75"/>
      <c r="H87" s="75" t="s">
        <v>633</v>
      </c>
      <c r="I87" s="79" t="s">
        <v>581</v>
      </c>
      <c r="J87" s="75">
        <v>0</v>
      </c>
      <c r="K87" s="14"/>
      <c r="L87" s="75"/>
      <c r="M87" s="75"/>
      <c r="N87" s="75"/>
      <c r="O87" s="75"/>
      <c r="P87" s="75"/>
      <c r="Q87" s="75"/>
      <c r="R87" s="75"/>
      <c r="S87" s="14"/>
      <c r="T87" s="75"/>
      <c r="U87" s="75"/>
      <c r="V87" s="14"/>
    </row>
    <row r="88" spans="1:22">
      <c r="A88" s="14"/>
      <c r="B88" s="15"/>
      <c r="C88" s="15"/>
      <c r="D88" s="15"/>
      <c r="E88" s="15"/>
      <c r="F88" s="15"/>
      <c r="G88" s="15"/>
      <c r="H88" s="15"/>
      <c r="I88" s="79" t="s">
        <v>582</v>
      </c>
      <c r="J88" s="75">
        <v>5</v>
      </c>
      <c r="K88" s="15"/>
      <c r="L88" s="75"/>
      <c r="M88" s="75"/>
      <c r="N88" s="75"/>
      <c r="O88" s="75"/>
      <c r="P88" s="75"/>
      <c r="Q88" s="75"/>
      <c r="R88" s="75"/>
      <c r="S88" s="15"/>
      <c r="T88" s="75"/>
      <c r="U88" s="75"/>
      <c r="V88" s="15"/>
    </row>
    <row r="89" spans="1:22">
      <c r="A89" s="14"/>
      <c r="B89" s="121" t="s">
        <v>336</v>
      </c>
      <c r="C89" s="74" t="s">
        <v>342</v>
      </c>
      <c r="D89" s="75" t="s">
        <v>343</v>
      </c>
      <c r="E89" s="74" t="s">
        <v>556</v>
      </c>
      <c r="F89" s="80" t="s">
        <v>634</v>
      </c>
      <c r="G89" s="79"/>
      <c r="H89" s="124" t="s">
        <v>635</v>
      </c>
      <c r="I89" s="79">
        <v>0</v>
      </c>
      <c r="J89" s="79">
        <v>0</v>
      </c>
      <c r="K89" s="120" t="s">
        <v>636</v>
      </c>
      <c r="L89" s="75"/>
      <c r="M89" s="75"/>
      <c r="N89" s="75"/>
      <c r="O89" s="75"/>
      <c r="P89" s="75"/>
      <c r="Q89" s="75"/>
      <c r="R89" s="75"/>
      <c r="S89" s="80" t="s">
        <v>560</v>
      </c>
      <c r="T89" s="75"/>
      <c r="U89" s="75"/>
      <c r="V89" s="87">
        <v>0.1</v>
      </c>
    </row>
    <row r="90" spans="1:22">
      <c r="A90" s="14"/>
      <c r="B90" s="14"/>
      <c r="C90" s="14"/>
      <c r="D90" s="14"/>
      <c r="E90" s="14"/>
      <c r="F90" s="14"/>
      <c r="G90" s="14"/>
      <c r="H90" s="14"/>
      <c r="I90" s="79">
        <v>5</v>
      </c>
      <c r="J90" s="79">
        <v>5</v>
      </c>
      <c r="K90" s="14"/>
      <c r="L90" s="75"/>
      <c r="M90" s="75"/>
      <c r="N90" s="75"/>
      <c r="O90" s="75"/>
      <c r="P90" s="75"/>
      <c r="Q90" s="75"/>
      <c r="R90" s="75"/>
      <c r="S90" s="14"/>
      <c r="T90" s="75"/>
      <c r="U90" s="75"/>
      <c r="V90" s="14"/>
    </row>
    <row r="91" spans="1:22">
      <c r="A91" s="14"/>
      <c r="B91" s="14"/>
      <c r="C91" s="15"/>
      <c r="D91" s="15"/>
      <c r="E91" s="15"/>
      <c r="F91" s="15"/>
      <c r="G91" s="15"/>
      <c r="H91" s="15"/>
      <c r="I91" s="79">
        <v>10</v>
      </c>
      <c r="J91" s="79">
        <v>10</v>
      </c>
      <c r="K91" s="15"/>
      <c r="L91" s="75"/>
      <c r="M91" s="75"/>
      <c r="N91" s="75"/>
      <c r="O91" s="75"/>
      <c r="P91" s="75"/>
      <c r="Q91" s="75"/>
      <c r="R91" s="75"/>
      <c r="S91" s="15"/>
      <c r="T91" s="75"/>
      <c r="U91" s="75"/>
      <c r="V91" s="15"/>
    </row>
    <row r="92" s="117" customFormat="1" ht="273" customHeight="1" spans="1:22">
      <c r="A92" s="14"/>
      <c r="B92" s="14"/>
      <c r="C92" s="122" t="s">
        <v>351</v>
      </c>
      <c r="D92" s="123" t="s">
        <v>352</v>
      </c>
      <c r="E92" s="123" t="s">
        <v>556</v>
      </c>
      <c r="F92" s="80" t="s">
        <v>637</v>
      </c>
      <c r="G92" s="75"/>
      <c r="H92" s="75" t="s">
        <v>638</v>
      </c>
      <c r="I92" s="75"/>
      <c r="J92" s="75"/>
      <c r="K92" s="120" t="s">
        <v>605</v>
      </c>
      <c r="L92" s="75"/>
      <c r="M92" s="75"/>
      <c r="N92" s="75"/>
      <c r="O92" s="75"/>
      <c r="P92" s="75"/>
      <c r="Q92" s="75"/>
      <c r="R92" s="75"/>
      <c r="S92" s="80" t="s">
        <v>560</v>
      </c>
      <c r="T92" s="75"/>
      <c r="U92" s="75"/>
      <c r="V92" s="86">
        <v>0.5</v>
      </c>
    </row>
    <row r="93" ht="25" customHeight="1" spans="1:22">
      <c r="A93" s="14"/>
      <c r="B93" s="99" t="s">
        <v>368</v>
      </c>
      <c r="C93" s="99" t="s">
        <v>639</v>
      </c>
      <c r="D93" s="100" t="s">
        <v>370</v>
      </c>
      <c r="E93" s="99" t="s">
        <v>601</v>
      </c>
      <c r="F93" s="99" t="s">
        <v>602</v>
      </c>
      <c r="G93" s="100"/>
      <c r="H93" s="100" t="s">
        <v>640</v>
      </c>
      <c r="I93" s="104" t="s">
        <v>604</v>
      </c>
      <c r="J93" s="104">
        <v>0</v>
      </c>
      <c r="K93" s="126" t="s">
        <v>605</v>
      </c>
      <c r="L93" s="100"/>
      <c r="M93" s="100"/>
      <c r="N93" s="100"/>
      <c r="O93" s="100"/>
      <c r="P93" s="100"/>
      <c r="Q93" s="100"/>
      <c r="R93" s="100"/>
      <c r="S93" s="99" t="s">
        <v>606</v>
      </c>
      <c r="T93" s="100"/>
      <c r="U93" s="100"/>
      <c r="V93" s="87">
        <v>0.5</v>
      </c>
    </row>
    <row r="94" ht="84" customHeight="1" spans="1:22">
      <c r="A94" s="14"/>
      <c r="B94" s="14"/>
      <c r="C94" s="14"/>
      <c r="D94" s="14"/>
      <c r="E94" s="14"/>
      <c r="F94" s="14"/>
      <c r="G94" s="14"/>
      <c r="H94" s="14"/>
      <c r="I94" s="104" t="s">
        <v>607</v>
      </c>
      <c r="J94" s="100" t="s">
        <v>608</v>
      </c>
      <c r="K94" s="14"/>
      <c r="L94" s="100"/>
      <c r="M94" s="100"/>
      <c r="N94" s="100"/>
      <c r="O94" s="100"/>
      <c r="P94" s="100"/>
      <c r="Q94" s="100"/>
      <c r="R94" s="100"/>
      <c r="S94" s="14"/>
      <c r="T94" s="100"/>
      <c r="U94" s="100"/>
      <c r="V94" s="14"/>
    </row>
    <row r="95" spans="1:22">
      <c r="A95" s="14"/>
      <c r="B95" s="14"/>
      <c r="C95" s="14"/>
      <c r="D95" s="14"/>
      <c r="E95" s="14"/>
      <c r="F95" s="15"/>
      <c r="G95" s="14"/>
      <c r="H95" s="15"/>
      <c r="I95" s="104" t="s">
        <v>609</v>
      </c>
      <c r="J95" s="104">
        <v>10</v>
      </c>
      <c r="K95" s="14"/>
      <c r="L95" s="100"/>
      <c r="M95" s="100"/>
      <c r="N95" s="100"/>
      <c r="O95" s="100"/>
      <c r="P95" s="100"/>
      <c r="Q95" s="100"/>
      <c r="R95" s="100"/>
      <c r="S95" s="14"/>
      <c r="T95" s="100"/>
      <c r="U95" s="100"/>
      <c r="V95" s="14"/>
    </row>
    <row r="96" spans="1:22">
      <c r="A96" s="14"/>
      <c r="B96" s="14"/>
      <c r="C96" s="14"/>
      <c r="D96" s="14"/>
      <c r="E96" s="14"/>
      <c r="F96" s="99" t="s">
        <v>610</v>
      </c>
      <c r="G96" s="14"/>
      <c r="H96" s="100" t="s">
        <v>641</v>
      </c>
      <c r="I96" s="104" t="s">
        <v>618</v>
      </c>
      <c r="J96" s="104">
        <v>0</v>
      </c>
      <c r="K96" s="14"/>
      <c r="L96" s="100"/>
      <c r="M96" s="100"/>
      <c r="N96" s="100"/>
      <c r="O96" s="100"/>
      <c r="P96" s="100"/>
      <c r="Q96" s="100"/>
      <c r="R96" s="100"/>
      <c r="S96" s="14"/>
      <c r="T96" s="100"/>
      <c r="U96" s="100"/>
      <c r="V96" s="14"/>
    </row>
    <row r="97" ht="68" customHeight="1" spans="1:22">
      <c r="A97" s="14"/>
      <c r="B97" s="14"/>
      <c r="C97" s="14"/>
      <c r="D97" s="14"/>
      <c r="E97" s="14"/>
      <c r="F97" s="14"/>
      <c r="G97" s="14"/>
      <c r="H97" s="14"/>
      <c r="I97" s="104" t="s">
        <v>613</v>
      </c>
      <c r="J97" s="100" t="s">
        <v>619</v>
      </c>
      <c r="K97" s="14"/>
      <c r="L97" s="100"/>
      <c r="M97" s="100"/>
      <c r="N97" s="100"/>
      <c r="O97" s="100"/>
      <c r="P97" s="100"/>
      <c r="Q97" s="100"/>
      <c r="R97" s="100"/>
      <c r="S97" s="14"/>
      <c r="T97" s="100"/>
      <c r="U97" s="100"/>
      <c r="V97" s="14"/>
    </row>
    <row r="98" spans="1:22">
      <c r="A98" s="14"/>
      <c r="B98" s="14"/>
      <c r="C98" s="15"/>
      <c r="D98" s="15"/>
      <c r="E98" s="15"/>
      <c r="F98" s="15"/>
      <c r="G98" s="15"/>
      <c r="H98" s="15"/>
      <c r="I98" s="104" t="s">
        <v>615</v>
      </c>
      <c r="J98" s="104">
        <v>10</v>
      </c>
      <c r="K98" s="15"/>
      <c r="L98" s="100"/>
      <c r="M98" s="100"/>
      <c r="N98" s="100"/>
      <c r="O98" s="100"/>
      <c r="P98" s="100"/>
      <c r="Q98" s="100"/>
      <c r="R98" s="100"/>
      <c r="S98" s="15"/>
      <c r="T98" s="100"/>
      <c r="U98" s="100"/>
      <c r="V98" s="15"/>
    </row>
    <row r="99" spans="1:22">
      <c r="A99" s="14"/>
      <c r="B99" s="14"/>
      <c r="C99" s="99" t="s">
        <v>391</v>
      </c>
      <c r="D99" s="100" t="s">
        <v>392</v>
      </c>
      <c r="E99" s="99" t="s">
        <v>601</v>
      </c>
      <c r="F99" s="99" t="s">
        <v>602</v>
      </c>
      <c r="G99" s="100"/>
      <c r="H99" s="100" t="s">
        <v>642</v>
      </c>
      <c r="I99" s="104" t="s">
        <v>604</v>
      </c>
      <c r="J99" s="104">
        <v>0</v>
      </c>
      <c r="K99" s="120" t="s">
        <v>622</v>
      </c>
      <c r="L99" s="100"/>
      <c r="M99" s="100"/>
      <c r="N99" s="100"/>
      <c r="O99" s="100"/>
      <c r="P99" s="100"/>
      <c r="Q99" s="100"/>
      <c r="R99" s="100"/>
      <c r="S99" s="99" t="s">
        <v>560</v>
      </c>
      <c r="T99" s="100"/>
      <c r="U99" s="100"/>
      <c r="V99" s="87">
        <v>0.1</v>
      </c>
    </row>
    <row r="100" ht="84" customHeight="1" spans="1:22">
      <c r="A100" s="14"/>
      <c r="B100" s="14"/>
      <c r="C100" s="14"/>
      <c r="D100" s="14"/>
      <c r="E100" s="14"/>
      <c r="F100" s="14"/>
      <c r="G100" s="14"/>
      <c r="H100" s="14"/>
      <c r="I100" s="104" t="s">
        <v>607</v>
      </c>
      <c r="J100" s="100" t="s">
        <v>608</v>
      </c>
      <c r="K100" s="14"/>
      <c r="L100" s="100"/>
      <c r="M100" s="100"/>
      <c r="N100" s="100"/>
      <c r="O100" s="100"/>
      <c r="P100" s="100"/>
      <c r="Q100" s="100"/>
      <c r="R100" s="100"/>
      <c r="S100" s="14"/>
      <c r="T100" s="100"/>
      <c r="U100" s="100"/>
      <c r="V100" s="14"/>
    </row>
    <row r="101" spans="1:22">
      <c r="A101" s="14"/>
      <c r="B101" s="14"/>
      <c r="C101" s="14"/>
      <c r="D101" s="14"/>
      <c r="E101" s="14"/>
      <c r="F101" s="15"/>
      <c r="G101" s="14"/>
      <c r="H101" s="15"/>
      <c r="I101" s="104" t="s">
        <v>609</v>
      </c>
      <c r="J101" s="104">
        <v>10</v>
      </c>
      <c r="K101" s="14"/>
      <c r="L101" s="100"/>
      <c r="M101" s="100"/>
      <c r="N101" s="100"/>
      <c r="O101" s="100"/>
      <c r="P101" s="100"/>
      <c r="Q101" s="100"/>
      <c r="R101" s="100"/>
      <c r="S101" s="14"/>
      <c r="T101" s="100"/>
      <c r="U101" s="100"/>
      <c r="V101" s="14"/>
    </row>
    <row r="102" spans="1:22">
      <c r="A102" s="14"/>
      <c r="B102" s="14"/>
      <c r="C102" s="14"/>
      <c r="D102" s="14"/>
      <c r="E102" s="14"/>
      <c r="F102" s="99" t="s">
        <v>610</v>
      </c>
      <c r="G102" s="14"/>
      <c r="H102" s="100" t="s">
        <v>643</v>
      </c>
      <c r="I102" s="104" t="s">
        <v>618</v>
      </c>
      <c r="J102" s="104">
        <v>0</v>
      </c>
      <c r="K102" s="14"/>
      <c r="L102" s="100"/>
      <c r="M102" s="100"/>
      <c r="N102" s="100"/>
      <c r="O102" s="100"/>
      <c r="P102" s="100"/>
      <c r="Q102" s="100"/>
      <c r="R102" s="100"/>
      <c r="S102" s="14"/>
      <c r="T102" s="100"/>
      <c r="U102" s="100"/>
      <c r="V102" s="14"/>
    </row>
    <row r="103" ht="68" customHeight="1" spans="1:22">
      <c r="A103" s="14"/>
      <c r="B103" s="14"/>
      <c r="C103" s="14"/>
      <c r="D103" s="14"/>
      <c r="E103" s="14"/>
      <c r="F103" s="14"/>
      <c r="G103" s="14"/>
      <c r="H103" s="14"/>
      <c r="I103" s="104" t="s">
        <v>613</v>
      </c>
      <c r="J103" s="100" t="s">
        <v>619</v>
      </c>
      <c r="K103" s="14"/>
      <c r="L103" s="100"/>
      <c r="M103" s="100"/>
      <c r="N103" s="100"/>
      <c r="O103" s="100"/>
      <c r="P103" s="100"/>
      <c r="Q103" s="100"/>
      <c r="R103" s="100"/>
      <c r="S103" s="14"/>
      <c r="T103" s="100"/>
      <c r="U103" s="100"/>
      <c r="V103" s="14"/>
    </row>
    <row r="104" spans="1:22">
      <c r="A104" s="14"/>
      <c r="B104" s="14"/>
      <c r="C104" s="15"/>
      <c r="D104" s="15"/>
      <c r="E104" s="15"/>
      <c r="F104" s="15"/>
      <c r="G104" s="15"/>
      <c r="H104" s="15"/>
      <c r="I104" s="104" t="s">
        <v>615</v>
      </c>
      <c r="J104" s="104">
        <v>10</v>
      </c>
      <c r="K104" s="15"/>
      <c r="L104" s="100"/>
      <c r="M104" s="100"/>
      <c r="N104" s="100"/>
      <c r="O104" s="100"/>
      <c r="P104" s="100"/>
      <c r="Q104" s="100"/>
      <c r="R104" s="100"/>
      <c r="S104" s="15"/>
      <c r="T104" s="100"/>
      <c r="U104" s="100"/>
      <c r="V104" s="15"/>
    </row>
    <row r="105" spans="1:22">
      <c r="A105" s="14"/>
      <c r="B105" s="14"/>
      <c r="C105" s="99" t="s">
        <v>404</v>
      </c>
      <c r="D105" s="100" t="s">
        <v>405</v>
      </c>
      <c r="E105" s="99" t="s">
        <v>601</v>
      </c>
      <c r="F105" s="99" t="s">
        <v>602</v>
      </c>
      <c r="G105" s="100"/>
      <c r="H105" s="100" t="s">
        <v>644</v>
      </c>
      <c r="I105" s="104" t="s">
        <v>604</v>
      </c>
      <c r="J105" s="104">
        <v>0</v>
      </c>
      <c r="K105" s="120" t="s">
        <v>622</v>
      </c>
      <c r="L105" s="100"/>
      <c r="M105" s="100"/>
      <c r="N105" s="100"/>
      <c r="O105" s="100"/>
      <c r="P105" s="100"/>
      <c r="Q105" s="100"/>
      <c r="R105" s="100"/>
      <c r="S105" s="99" t="s">
        <v>560</v>
      </c>
      <c r="T105" s="100"/>
      <c r="U105" s="100"/>
      <c r="V105" s="87">
        <v>0.3</v>
      </c>
    </row>
    <row r="106" ht="84" customHeight="1" spans="1:22">
      <c r="A106" s="14"/>
      <c r="B106" s="14"/>
      <c r="C106" s="14"/>
      <c r="D106" s="14"/>
      <c r="E106" s="14"/>
      <c r="F106" s="14"/>
      <c r="G106" s="14"/>
      <c r="H106" s="14"/>
      <c r="I106" s="104" t="s">
        <v>607</v>
      </c>
      <c r="J106" s="100" t="s">
        <v>608</v>
      </c>
      <c r="K106" s="14"/>
      <c r="L106" s="100"/>
      <c r="M106" s="100"/>
      <c r="N106" s="100"/>
      <c r="O106" s="100"/>
      <c r="P106" s="100"/>
      <c r="Q106" s="100"/>
      <c r="R106" s="100"/>
      <c r="S106" s="14"/>
      <c r="T106" s="100"/>
      <c r="U106" s="100"/>
      <c r="V106" s="14"/>
    </row>
    <row r="107" spans="1:22">
      <c r="A107" s="14"/>
      <c r="B107" s="14"/>
      <c r="C107" s="14"/>
      <c r="D107" s="14"/>
      <c r="E107" s="14"/>
      <c r="F107" s="15"/>
      <c r="G107" s="14"/>
      <c r="H107" s="15"/>
      <c r="I107" s="104" t="s">
        <v>609</v>
      </c>
      <c r="J107" s="104">
        <v>10</v>
      </c>
      <c r="K107" s="14"/>
      <c r="L107" s="100"/>
      <c r="M107" s="100"/>
      <c r="N107" s="100"/>
      <c r="O107" s="100"/>
      <c r="P107" s="100"/>
      <c r="Q107" s="100"/>
      <c r="R107" s="100"/>
      <c r="S107" s="14"/>
      <c r="T107" s="100"/>
      <c r="U107" s="100"/>
      <c r="V107" s="14"/>
    </row>
    <row r="108" spans="1:22">
      <c r="A108" s="14"/>
      <c r="B108" s="14"/>
      <c r="C108" s="14"/>
      <c r="D108" s="14"/>
      <c r="E108" s="14"/>
      <c r="F108" s="99" t="s">
        <v>610</v>
      </c>
      <c r="G108" s="14"/>
      <c r="H108" s="100" t="s">
        <v>645</v>
      </c>
      <c r="I108" s="104" t="s">
        <v>618</v>
      </c>
      <c r="J108" s="104">
        <v>0</v>
      </c>
      <c r="K108" s="14"/>
      <c r="L108" s="100"/>
      <c r="M108" s="100"/>
      <c r="N108" s="100"/>
      <c r="O108" s="100"/>
      <c r="P108" s="100"/>
      <c r="Q108" s="100"/>
      <c r="R108" s="100"/>
      <c r="S108" s="14"/>
      <c r="T108" s="100"/>
      <c r="U108" s="100"/>
      <c r="V108" s="14"/>
    </row>
    <row r="109" ht="68" customHeight="1" spans="1:22">
      <c r="A109" s="14"/>
      <c r="B109" s="14"/>
      <c r="C109" s="14"/>
      <c r="D109" s="14"/>
      <c r="E109" s="14"/>
      <c r="F109" s="14"/>
      <c r="G109" s="14"/>
      <c r="H109" s="14"/>
      <c r="I109" s="104" t="s">
        <v>613</v>
      </c>
      <c r="J109" s="100" t="s">
        <v>619</v>
      </c>
      <c r="K109" s="14"/>
      <c r="L109" s="100"/>
      <c r="M109" s="100"/>
      <c r="N109" s="100"/>
      <c r="O109" s="100"/>
      <c r="P109" s="100"/>
      <c r="Q109" s="100"/>
      <c r="R109" s="100"/>
      <c r="S109" s="14"/>
      <c r="T109" s="100"/>
      <c r="U109" s="100"/>
      <c r="V109" s="14"/>
    </row>
    <row r="110" spans="1:22">
      <c r="A110" s="14"/>
      <c r="B110" s="15"/>
      <c r="C110" s="15"/>
      <c r="D110" s="15"/>
      <c r="E110" s="15"/>
      <c r="F110" s="15"/>
      <c r="G110" s="15"/>
      <c r="H110" s="15"/>
      <c r="I110" s="104" t="s">
        <v>615</v>
      </c>
      <c r="J110" s="104">
        <v>10</v>
      </c>
      <c r="K110" s="15"/>
      <c r="L110" s="100"/>
      <c r="M110" s="100"/>
      <c r="N110" s="100"/>
      <c r="O110" s="100"/>
      <c r="P110" s="100"/>
      <c r="Q110" s="100"/>
      <c r="R110" s="100"/>
      <c r="S110" s="15"/>
      <c r="T110" s="100"/>
      <c r="U110" s="100"/>
      <c r="V110" s="15"/>
    </row>
    <row r="111" ht="17" customHeight="1" spans="1:22">
      <c r="A111" s="14"/>
      <c r="B111" s="80" t="s">
        <v>420</v>
      </c>
      <c r="C111" s="99" t="s">
        <v>464</v>
      </c>
      <c r="D111" s="99" t="s">
        <v>646</v>
      </c>
      <c r="E111" s="99" t="s">
        <v>629</v>
      </c>
      <c r="F111" s="99" t="s">
        <v>647</v>
      </c>
      <c r="G111" s="103"/>
      <c r="H111" s="99" t="s">
        <v>648</v>
      </c>
      <c r="I111" s="100" t="s">
        <v>581</v>
      </c>
      <c r="J111" s="100">
        <v>0</v>
      </c>
      <c r="K111" s="126" t="s">
        <v>605</v>
      </c>
      <c r="L111" s="127"/>
      <c r="M111" s="127"/>
      <c r="N111" s="128"/>
      <c r="O111" s="127"/>
      <c r="P111" s="127"/>
      <c r="Q111" s="128"/>
      <c r="R111" s="127"/>
      <c r="S111" s="130" t="s">
        <v>560</v>
      </c>
      <c r="T111" s="128"/>
      <c r="U111" s="127"/>
      <c r="V111" s="87">
        <v>0.2</v>
      </c>
    </row>
    <row r="112" ht="17" customHeight="1" spans="1:22">
      <c r="A112" s="14"/>
      <c r="B112" s="14"/>
      <c r="C112" s="14"/>
      <c r="D112" s="14"/>
      <c r="E112" s="14"/>
      <c r="F112" s="14"/>
      <c r="G112" s="14"/>
      <c r="H112" s="14"/>
      <c r="I112" s="100" t="s">
        <v>649</v>
      </c>
      <c r="J112" s="100">
        <v>3</v>
      </c>
      <c r="K112" s="14"/>
      <c r="L112" s="127"/>
      <c r="M112" s="127"/>
      <c r="N112" s="128"/>
      <c r="O112" s="127"/>
      <c r="P112" s="127"/>
      <c r="Q112" s="128"/>
      <c r="R112" s="127"/>
      <c r="S112" s="14"/>
      <c r="T112" s="128"/>
      <c r="U112" s="127"/>
      <c r="V112" s="14"/>
    </row>
    <row r="113" ht="17" customHeight="1" spans="1:22">
      <c r="A113" s="14"/>
      <c r="B113" s="14"/>
      <c r="C113" s="14"/>
      <c r="D113" s="14"/>
      <c r="E113" s="14"/>
      <c r="F113" s="15"/>
      <c r="G113" s="15"/>
      <c r="H113" s="15"/>
      <c r="I113" s="100" t="s">
        <v>650</v>
      </c>
      <c r="J113" s="100">
        <v>5</v>
      </c>
      <c r="K113" s="14"/>
      <c r="L113" s="127"/>
      <c r="M113" s="127"/>
      <c r="N113" s="128"/>
      <c r="O113" s="127"/>
      <c r="P113" s="127"/>
      <c r="Q113" s="128"/>
      <c r="R113" s="127"/>
      <c r="S113" s="15"/>
      <c r="T113" s="128"/>
      <c r="U113" s="127"/>
      <c r="V113" s="14"/>
    </row>
    <row r="114" ht="17" customHeight="1" spans="1:22">
      <c r="A114" s="14"/>
      <c r="B114" s="14"/>
      <c r="C114" s="14"/>
      <c r="D114" s="14"/>
      <c r="E114" s="14"/>
      <c r="F114" s="99" t="s">
        <v>651</v>
      </c>
      <c r="G114" s="103"/>
      <c r="H114" s="99" t="s">
        <v>652</v>
      </c>
      <c r="I114" s="100" t="s">
        <v>581</v>
      </c>
      <c r="J114" s="100">
        <v>0</v>
      </c>
      <c r="K114" s="14"/>
      <c r="L114" s="127"/>
      <c r="M114" s="127"/>
      <c r="N114" s="128"/>
      <c r="O114" s="127"/>
      <c r="P114" s="127"/>
      <c r="Q114" s="128"/>
      <c r="R114" s="127"/>
      <c r="S114" s="130" t="s">
        <v>560</v>
      </c>
      <c r="T114" s="128"/>
      <c r="U114" s="127"/>
      <c r="V114" s="14"/>
    </row>
    <row r="115" ht="17" customHeight="1" spans="1:22">
      <c r="A115" s="14"/>
      <c r="B115" s="14"/>
      <c r="C115" s="15"/>
      <c r="D115" s="15"/>
      <c r="E115" s="15"/>
      <c r="F115" s="15"/>
      <c r="G115" s="15"/>
      <c r="H115" s="15"/>
      <c r="I115" s="100" t="s">
        <v>582</v>
      </c>
      <c r="J115" s="100">
        <v>5</v>
      </c>
      <c r="K115" s="15"/>
      <c r="L115" s="127"/>
      <c r="M115" s="127"/>
      <c r="N115" s="128"/>
      <c r="O115" s="127"/>
      <c r="P115" s="127"/>
      <c r="Q115" s="128"/>
      <c r="R115" s="127"/>
      <c r="S115" s="15"/>
      <c r="T115" s="128"/>
      <c r="U115" s="127"/>
      <c r="V115" s="15"/>
    </row>
    <row r="116" ht="17" customHeight="1" spans="1:22">
      <c r="A116" s="14"/>
      <c r="B116" s="14"/>
      <c r="C116" s="99" t="s">
        <v>467</v>
      </c>
      <c r="D116" s="99" t="s">
        <v>653</v>
      </c>
      <c r="E116" s="99" t="s">
        <v>556</v>
      </c>
      <c r="F116" s="99" t="s">
        <v>654</v>
      </c>
      <c r="G116" s="100"/>
      <c r="H116" s="100" t="s">
        <v>655</v>
      </c>
      <c r="I116" s="100" t="s">
        <v>581</v>
      </c>
      <c r="J116" s="100">
        <v>0</v>
      </c>
      <c r="K116" s="126" t="s">
        <v>605</v>
      </c>
      <c r="L116" s="127"/>
      <c r="M116" s="127"/>
      <c r="N116" s="128"/>
      <c r="O116" s="127"/>
      <c r="P116" s="127"/>
      <c r="Q116" s="128"/>
      <c r="R116" s="127"/>
      <c r="S116" s="130" t="s">
        <v>560</v>
      </c>
      <c r="T116" s="128"/>
      <c r="U116" s="127"/>
      <c r="V116" s="87">
        <v>0.2</v>
      </c>
    </row>
    <row r="117" ht="17" customHeight="1" spans="1:22">
      <c r="A117" s="14"/>
      <c r="B117" s="14"/>
      <c r="C117" s="15"/>
      <c r="D117" s="15"/>
      <c r="E117" s="15"/>
      <c r="F117" s="15"/>
      <c r="G117" s="15"/>
      <c r="H117" s="15"/>
      <c r="I117" s="100" t="s">
        <v>582</v>
      </c>
      <c r="J117" s="100">
        <v>10</v>
      </c>
      <c r="K117" s="15"/>
      <c r="L117" s="127"/>
      <c r="M117" s="127"/>
      <c r="N117" s="128"/>
      <c r="O117" s="127"/>
      <c r="P117" s="127"/>
      <c r="Q117" s="128"/>
      <c r="R117" s="127"/>
      <c r="S117" s="15"/>
      <c r="T117" s="128"/>
      <c r="U117" s="127"/>
      <c r="V117" s="15"/>
    </row>
    <row r="118" ht="17" customHeight="1" spans="1:22">
      <c r="A118" s="14"/>
      <c r="B118" s="14"/>
      <c r="C118" s="99" t="s">
        <v>470</v>
      </c>
      <c r="D118" s="99" t="s">
        <v>656</v>
      </c>
      <c r="E118" s="99" t="s">
        <v>556</v>
      </c>
      <c r="F118" s="99" t="s">
        <v>657</v>
      </c>
      <c r="G118" s="99"/>
      <c r="H118" s="99" t="s">
        <v>658</v>
      </c>
      <c r="I118" s="100" t="s">
        <v>581</v>
      </c>
      <c r="J118" s="100">
        <v>0</v>
      </c>
      <c r="K118" s="126" t="s">
        <v>605</v>
      </c>
      <c r="L118" s="127"/>
      <c r="M118" s="127"/>
      <c r="N118" s="128"/>
      <c r="O118" s="127"/>
      <c r="P118" s="127"/>
      <c r="Q118" s="128"/>
      <c r="R118" s="127"/>
      <c r="S118" s="130" t="s">
        <v>560</v>
      </c>
      <c r="T118" s="128"/>
      <c r="U118" s="127"/>
      <c r="V118" s="87">
        <v>0.2</v>
      </c>
    </row>
    <row r="119" ht="17" customHeight="1" spans="1:22">
      <c r="A119" s="14"/>
      <c r="B119" s="14"/>
      <c r="C119" s="14"/>
      <c r="D119" s="14"/>
      <c r="E119" s="14"/>
      <c r="F119" s="14"/>
      <c r="G119" s="14"/>
      <c r="H119" s="14"/>
      <c r="I119" s="100" t="s">
        <v>649</v>
      </c>
      <c r="J119" s="100">
        <v>5</v>
      </c>
      <c r="K119" s="14"/>
      <c r="L119" s="127"/>
      <c r="M119" s="127"/>
      <c r="N119" s="128"/>
      <c r="O119" s="127"/>
      <c r="P119" s="127"/>
      <c r="Q119" s="128"/>
      <c r="R119" s="127"/>
      <c r="S119" s="14"/>
      <c r="T119" s="128"/>
      <c r="U119" s="127"/>
      <c r="V119" s="14"/>
    </row>
    <row r="120" ht="17" customHeight="1" spans="1:22">
      <c r="A120" s="14"/>
      <c r="B120" s="14"/>
      <c r="C120" s="15"/>
      <c r="D120" s="15"/>
      <c r="E120" s="15"/>
      <c r="F120" s="15"/>
      <c r="G120" s="15"/>
      <c r="H120" s="15"/>
      <c r="I120" s="100" t="s">
        <v>650</v>
      </c>
      <c r="J120" s="100">
        <v>10</v>
      </c>
      <c r="K120" s="15"/>
      <c r="L120" s="127"/>
      <c r="M120" s="127"/>
      <c r="N120" s="128"/>
      <c r="O120" s="127"/>
      <c r="P120" s="127"/>
      <c r="Q120" s="128"/>
      <c r="R120" s="127"/>
      <c r="S120" s="15"/>
      <c r="T120" s="128"/>
      <c r="U120" s="127"/>
      <c r="V120" s="15"/>
    </row>
    <row r="121" ht="17" customHeight="1" spans="1:22">
      <c r="A121" s="14"/>
      <c r="B121" s="14"/>
      <c r="C121" s="99" t="s">
        <v>473</v>
      </c>
      <c r="D121" s="99" t="s">
        <v>659</v>
      </c>
      <c r="E121" s="99" t="s">
        <v>556</v>
      </c>
      <c r="F121" s="99" t="s">
        <v>660</v>
      </c>
      <c r="G121" s="99"/>
      <c r="H121" s="99" t="s">
        <v>661</v>
      </c>
      <c r="I121" s="100" t="s">
        <v>581</v>
      </c>
      <c r="J121" s="100">
        <v>0</v>
      </c>
      <c r="K121" s="126" t="s">
        <v>605</v>
      </c>
      <c r="L121" s="127"/>
      <c r="M121" s="127"/>
      <c r="N121" s="128"/>
      <c r="O121" s="127"/>
      <c r="P121" s="127"/>
      <c r="Q121" s="128"/>
      <c r="R121" s="127"/>
      <c r="S121" s="130" t="s">
        <v>560</v>
      </c>
      <c r="T121" s="128"/>
      <c r="U121" s="127"/>
      <c r="V121" s="87">
        <v>0.1</v>
      </c>
    </row>
    <row r="122" ht="17" customHeight="1" spans="1:22">
      <c r="A122" s="14"/>
      <c r="B122" s="14"/>
      <c r="C122" s="14"/>
      <c r="D122" s="14"/>
      <c r="E122" s="14"/>
      <c r="F122" s="14"/>
      <c r="G122" s="14"/>
      <c r="H122" s="14"/>
      <c r="I122" s="100" t="s">
        <v>649</v>
      </c>
      <c r="J122" s="100">
        <v>5</v>
      </c>
      <c r="K122" s="14"/>
      <c r="L122" s="127"/>
      <c r="M122" s="127"/>
      <c r="N122" s="128"/>
      <c r="O122" s="127"/>
      <c r="P122" s="127"/>
      <c r="Q122" s="128"/>
      <c r="R122" s="127"/>
      <c r="S122" s="14"/>
      <c r="T122" s="128"/>
      <c r="U122" s="127"/>
      <c r="V122" s="14"/>
    </row>
    <row r="123" ht="17" customHeight="1" spans="1:22">
      <c r="A123" s="14"/>
      <c r="B123" s="14"/>
      <c r="C123" s="15"/>
      <c r="D123" s="15"/>
      <c r="E123" s="15"/>
      <c r="F123" s="15"/>
      <c r="G123" s="15"/>
      <c r="H123" s="15"/>
      <c r="I123" s="100" t="s">
        <v>650</v>
      </c>
      <c r="J123" s="100">
        <v>10</v>
      </c>
      <c r="K123" s="15"/>
      <c r="L123" s="127"/>
      <c r="M123" s="127"/>
      <c r="N123" s="128"/>
      <c r="O123" s="127"/>
      <c r="P123" s="127"/>
      <c r="Q123" s="128"/>
      <c r="R123" s="127"/>
      <c r="S123" s="15"/>
      <c r="T123" s="128"/>
      <c r="U123" s="127"/>
      <c r="V123" s="15"/>
    </row>
    <row r="124" ht="17" customHeight="1" spans="1:22">
      <c r="A124" s="14"/>
      <c r="B124" s="14"/>
      <c r="C124" s="99" t="s">
        <v>476</v>
      </c>
      <c r="D124" s="100" t="s">
        <v>662</v>
      </c>
      <c r="E124" s="99" t="s">
        <v>629</v>
      </c>
      <c r="F124" s="99" t="s">
        <v>663</v>
      </c>
      <c r="G124" s="100"/>
      <c r="H124" s="100" t="s">
        <v>664</v>
      </c>
      <c r="I124" s="100" t="s">
        <v>581</v>
      </c>
      <c r="J124" s="100">
        <v>0</v>
      </c>
      <c r="K124" s="126" t="s">
        <v>605</v>
      </c>
      <c r="L124" s="127"/>
      <c r="M124" s="127"/>
      <c r="N124" s="128"/>
      <c r="O124" s="127"/>
      <c r="P124" s="127"/>
      <c r="Q124" s="128"/>
      <c r="R124" s="127"/>
      <c r="S124" s="130" t="s">
        <v>560</v>
      </c>
      <c r="T124" s="128"/>
      <c r="U124" s="127"/>
      <c r="V124" s="87">
        <v>0.1</v>
      </c>
    </row>
    <row r="125" ht="17" customHeight="1" spans="1:22">
      <c r="A125" s="14"/>
      <c r="B125" s="14"/>
      <c r="C125" s="14"/>
      <c r="D125" s="14"/>
      <c r="E125" s="14"/>
      <c r="F125" s="15"/>
      <c r="G125" s="15"/>
      <c r="H125" s="15"/>
      <c r="I125" s="100" t="s">
        <v>582</v>
      </c>
      <c r="J125" s="100">
        <v>5</v>
      </c>
      <c r="K125" s="14"/>
      <c r="L125" s="127"/>
      <c r="M125" s="127"/>
      <c r="N125" s="128"/>
      <c r="O125" s="127"/>
      <c r="P125" s="127"/>
      <c r="Q125" s="128"/>
      <c r="R125" s="127"/>
      <c r="S125" s="15"/>
      <c r="T125" s="128"/>
      <c r="U125" s="127"/>
      <c r="V125" s="14"/>
    </row>
    <row r="126" ht="17" customHeight="1" spans="1:22">
      <c r="A126" s="14"/>
      <c r="B126" s="14"/>
      <c r="C126" s="14"/>
      <c r="D126" s="14"/>
      <c r="E126" s="14"/>
      <c r="F126" s="99" t="s">
        <v>665</v>
      </c>
      <c r="G126" s="100"/>
      <c r="H126" s="100" t="s">
        <v>666</v>
      </c>
      <c r="I126" s="100" t="s">
        <v>581</v>
      </c>
      <c r="J126" s="100">
        <v>0</v>
      </c>
      <c r="K126" s="14"/>
      <c r="L126" s="127"/>
      <c r="M126" s="127"/>
      <c r="N126" s="129"/>
      <c r="O126" s="127"/>
      <c r="P126" s="127"/>
      <c r="Q126" s="128"/>
      <c r="R126" s="127"/>
      <c r="S126" s="130" t="s">
        <v>560</v>
      </c>
      <c r="T126" s="128"/>
      <c r="U126" s="127"/>
      <c r="V126" s="14"/>
    </row>
    <row r="127" ht="17" customHeight="1" spans="1:22">
      <c r="A127" s="14"/>
      <c r="B127" s="14"/>
      <c r="C127" s="15"/>
      <c r="D127" s="15"/>
      <c r="E127" s="15"/>
      <c r="F127" s="15"/>
      <c r="G127" s="15"/>
      <c r="H127" s="15"/>
      <c r="I127" s="100" t="s">
        <v>582</v>
      </c>
      <c r="J127" s="100">
        <v>5</v>
      </c>
      <c r="K127" s="15"/>
      <c r="L127" s="127"/>
      <c r="M127" s="127"/>
      <c r="N127" s="129"/>
      <c r="O127" s="127"/>
      <c r="P127" s="127"/>
      <c r="Q127" s="128"/>
      <c r="R127" s="127"/>
      <c r="S127" s="15"/>
      <c r="T127" s="128"/>
      <c r="U127" s="127"/>
      <c r="V127" s="15"/>
    </row>
    <row r="128" spans="1:22">
      <c r="A128" s="14"/>
      <c r="B128" s="14"/>
      <c r="C128" s="80" t="s">
        <v>479</v>
      </c>
      <c r="D128" s="75" t="s">
        <v>480</v>
      </c>
      <c r="E128" s="80" t="s">
        <v>601</v>
      </c>
      <c r="F128" s="80" t="s">
        <v>602</v>
      </c>
      <c r="G128" s="75"/>
      <c r="H128" s="75" t="s">
        <v>667</v>
      </c>
      <c r="I128" s="79" t="s">
        <v>604</v>
      </c>
      <c r="J128" s="79">
        <v>0</v>
      </c>
      <c r="K128" s="120" t="s">
        <v>605</v>
      </c>
      <c r="L128" s="75"/>
      <c r="M128" s="75"/>
      <c r="N128" s="75"/>
      <c r="O128" s="75"/>
      <c r="P128" s="75"/>
      <c r="Q128" s="75"/>
      <c r="R128" s="75"/>
      <c r="S128" s="80" t="s">
        <v>560</v>
      </c>
      <c r="T128" s="75"/>
      <c r="U128" s="75"/>
      <c r="V128" s="87">
        <v>0.1</v>
      </c>
    </row>
    <row r="129" ht="84" customHeight="1" spans="1:22">
      <c r="A129" s="14"/>
      <c r="B129" s="14"/>
      <c r="C129" s="14"/>
      <c r="D129" s="14"/>
      <c r="E129" s="14"/>
      <c r="F129" s="14"/>
      <c r="G129" s="14"/>
      <c r="H129" s="14"/>
      <c r="I129" s="79" t="s">
        <v>607</v>
      </c>
      <c r="J129" s="75" t="s">
        <v>608</v>
      </c>
      <c r="K129" s="14"/>
      <c r="L129" s="75"/>
      <c r="M129" s="75"/>
      <c r="N129" s="75"/>
      <c r="O129" s="75"/>
      <c r="P129" s="75"/>
      <c r="Q129" s="75"/>
      <c r="R129" s="75"/>
      <c r="S129" s="14"/>
      <c r="T129" s="75"/>
      <c r="U129" s="75"/>
      <c r="V129" s="14"/>
    </row>
    <row r="130" spans="1:22">
      <c r="A130" s="14"/>
      <c r="B130" s="14"/>
      <c r="C130" s="14"/>
      <c r="D130" s="14"/>
      <c r="E130" s="14"/>
      <c r="F130" s="15"/>
      <c r="G130" s="15"/>
      <c r="H130" s="15"/>
      <c r="I130" s="79" t="s">
        <v>609</v>
      </c>
      <c r="J130" s="79">
        <v>10</v>
      </c>
      <c r="K130" s="14"/>
      <c r="L130" s="75"/>
      <c r="M130" s="75"/>
      <c r="N130" s="75"/>
      <c r="O130" s="75"/>
      <c r="P130" s="75"/>
      <c r="Q130" s="75"/>
      <c r="R130" s="75"/>
      <c r="S130" s="14"/>
      <c r="T130" s="75"/>
      <c r="U130" s="75"/>
      <c r="V130" s="14"/>
    </row>
    <row r="131" spans="1:22">
      <c r="A131" s="14"/>
      <c r="B131" s="14"/>
      <c r="C131" s="14"/>
      <c r="D131" s="14"/>
      <c r="E131" s="14"/>
      <c r="F131" s="80" t="s">
        <v>610</v>
      </c>
      <c r="G131" s="75"/>
      <c r="H131" s="75" t="s">
        <v>668</v>
      </c>
      <c r="I131" s="79" t="s">
        <v>618</v>
      </c>
      <c r="J131" s="79">
        <v>0</v>
      </c>
      <c r="K131" s="14"/>
      <c r="L131" s="75"/>
      <c r="M131" s="75"/>
      <c r="N131" s="75"/>
      <c r="O131" s="75"/>
      <c r="P131" s="75"/>
      <c r="Q131" s="75"/>
      <c r="R131" s="75"/>
      <c r="S131" s="14"/>
      <c r="T131" s="75"/>
      <c r="U131" s="75"/>
      <c r="V131" s="14"/>
    </row>
    <row r="132" ht="68" customHeight="1" spans="1:22">
      <c r="A132" s="14"/>
      <c r="B132" s="14"/>
      <c r="C132" s="14"/>
      <c r="D132" s="14"/>
      <c r="E132" s="14"/>
      <c r="F132" s="14"/>
      <c r="G132" s="14"/>
      <c r="H132" s="14"/>
      <c r="I132" s="79" t="s">
        <v>613</v>
      </c>
      <c r="J132" s="75" t="s">
        <v>619</v>
      </c>
      <c r="K132" s="14"/>
      <c r="L132" s="75"/>
      <c r="M132" s="75"/>
      <c r="N132" s="75"/>
      <c r="O132" s="75"/>
      <c r="P132" s="75"/>
      <c r="Q132" s="75"/>
      <c r="R132" s="75"/>
      <c r="S132" s="14"/>
      <c r="T132" s="75"/>
      <c r="U132" s="75"/>
      <c r="V132" s="14"/>
    </row>
    <row r="133" spans="1:22">
      <c r="A133" s="15"/>
      <c r="B133" s="15"/>
      <c r="C133" s="15"/>
      <c r="D133" s="15"/>
      <c r="E133" s="15"/>
      <c r="F133" s="15"/>
      <c r="G133" s="15"/>
      <c r="H133" s="15"/>
      <c r="I133" s="79" t="s">
        <v>615</v>
      </c>
      <c r="J133" s="79">
        <v>10</v>
      </c>
      <c r="K133" s="15"/>
      <c r="L133" s="75"/>
      <c r="M133" s="75"/>
      <c r="N133" s="75"/>
      <c r="O133" s="75"/>
      <c r="P133" s="75"/>
      <c r="Q133" s="75"/>
      <c r="R133" s="75"/>
      <c r="S133" s="15"/>
      <c r="T133" s="75"/>
      <c r="U133" s="75"/>
      <c r="V133" s="15"/>
    </row>
  </sheetData>
  <mergeCells count="282">
    <mergeCell ref="A2:A25"/>
    <mergeCell ref="A26:A49"/>
    <mergeCell ref="A50:A133"/>
    <mergeCell ref="B2:B17"/>
    <mergeCell ref="B18:B25"/>
    <mergeCell ref="B26:B31"/>
    <mergeCell ref="B32:B49"/>
    <mergeCell ref="B50:B66"/>
    <mergeCell ref="B67:B78"/>
    <mergeCell ref="B79:B84"/>
    <mergeCell ref="B85:B88"/>
    <mergeCell ref="B89:B92"/>
    <mergeCell ref="B93:B110"/>
    <mergeCell ref="B111:B133"/>
    <mergeCell ref="C2:C6"/>
    <mergeCell ref="C7:C11"/>
    <mergeCell ref="C12:C17"/>
    <mergeCell ref="C18:C23"/>
    <mergeCell ref="C24:C25"/>
    <mergeCell ref="C26:C31"/>
    <mergeCell ref="C32:C37"/>
    <mergeCell ref="C38:C43"/>
    <mergeCell ref="C44:C49"/>
    <mergeCell ref="C50:C54"/>
    <mergeCell ref="C55:C60"/>
    <mergeCell ref="C61:C66"/>
    <mergeCell ref="C67:C78"/>
    <mergeCell ref="C79:C84"/>
    <mergeCell ref="C85:C88"/>
    <mergeCell ref="C89:C91"/>
    <mergeCell ref="C93:C98"/>
    <mergeCell ref="C99:C104"/>
    <mergeCell ref="C105:C110"/>
    <mergeCell ref="C111:C115"/>
    <mergeCell ref="C116:C117"/>
    <mergeCell ref="C118:C120"/>
    <mergeCell ref="C121:C123"/>
    <mergeCell ref="C124:C127"/>
    <mergeCell ref="C128:C133"/>
    <mergeCell ref="D2:D6"/>
    <mergeCell ref="D7:D11"/>
    <mergeCell ref="D12:D17"/>
    <mergeCell ref="D18:D23"/>
    <mergeCell ref="D24:D25"/>
    <mergeCell ref="D26:D31"/>
    <mergeCell ref="D32:D37"/>
    <mergeCell ref="D38:D43"/>
    <mergeCell ref="D44:D49"/>
    <mergeCell ref="D50:D54"/>
    <mergeCell ref="D55:D60"/>
    <mergeCell ref="D61:D66"/>
    <mergeCell ref="D67:D72"/>
    <mergeCell ref="D73:D78"/>
    <mergeCell ref="D79:D84"/>
    <mergeCell ref="D85:D88"/>
    <mergeCell ref="D89:D91"/>
    <mergeCell ref="D93:D98"/>
    <mergeCell ref="D99:D104"/>
    <mergeCell ref="D105:D110"/>
    <mergeCell ref="D111:D115"/>
    <mergeCell ref="D116:D117"/>
    <mergeCell ref="D118:D120"/>
    <mergeCell ref="D121:D123"/>
    <mergeCell ref="D124:D127"/>
    <mergeCell ref="D128:D133"/>
    <mergeCell ref="E2:E6"/>
    <mergeCell ref="E7:E11"/>
    <mergeCell ref="E12:E17"/>
    <mergeCell ref="E18:E23"/>
    <mergeCell ref="E24:E25"/>
    <mergeCell ref="E26:E31"/>
    <mergeCell ref="E32:E37"/>
    <mergeCell ref="E38:E43"/>
    <mergeCell ref="E44:E49"/>
    <mergeCell ref="E50:E54"/>
    <mergeCell ref="E55:E60"/>
    <mergeCell ref="E61:E66"/>
    <mergeCell ref="E67:E72"/>
    <mergeCell ref="E73:E78"/>
    <mergeCell ref="E79:E84"/>
    <mergeCell ref="E85:E88"/>
    <mergeCell ref="E89:E91"/>
    <mergeCell ref="E93:E98"/>
    <mergeCell ref="E99:E104"/>
    <mergeCell ref="E105:E110"/>
    <mergeCell ref="E111:E115"/>
    <mergeCell ref="E116:E117"/>
    <mergeCell ref="E118:E120"/>
    <mergeCell ref="E121:E123"/>
    <mergeCell ref="E124:E127"/>
    <mergeCell ref="E128:E133"/>
    <mergeCell ref="F2:F6"/>
    <mergeCell ref="F7:F11"/>
    <mergeCell ref="F12:F17"/>
    <mergeCell ref="F18:F23"/>
    <mergeCell ref="F24:F25"/>
    <mergeCell ref="F26:F31"/>
    <mergeCell ref="F32:F37"/>
    <mergeCell ref="F38:F43"/>
    <mergeCell ref="F44:F49"/>
    <mergeCell ref="F50:F54"/>
    <mergeCell ref="F55:F57"/>
    <mergeCell ref="F58:F60"/>
    <mergeCell ref="F61:F63"/>
    <mergeCell ref="F64:F66"/>
    <mergeCell ref="F67:F69"/>
    <mergeCell ref="F70:F72"/>
    <mergeCell ref="F73:F75"/>
    <mergeCell ref="F76:F78"/>
    <mergeCell ref="F79:F81"/>
    <mergeCell ref="F82:F84"/>
    <mergeCell ref="F85:F86"/>
    <mergeCell ref="F87:F88"/>
    <mergeCell ref="F89:F91"/>
    <mergeCell ref="F93:F95"/>
    <mergeCell ref="F96:F98"/>
    <mergeCell ref="F99:F101"/>
    <mergeCell ref="F102:F104"/>
    <mergeCell ref="F105:F107"/>
    <mergeCell ref="F108:F110"/>
    <mergeCell ref="F111:F113"/>
    <mergeCell ref="F114:F115"/>
    <mergeCell ref="F116:F117"/>
    <mergeCell ref="F118:F120"/>
    <mergeCell ref="F121:F123"/>
    <mergeCell ref="F124:F125"/>
    <mergeCell ref="F126:F127"/>
    <mergeCell ref="F128:F130"/>
    <mergeCell ref="F131:F133"/>
    <mergeCell ref="G2:G6"/>
    <mergeCell ref="G7:G11"/>
    <mergeCell ref="G12:G17"/>
    <mergeCell ref="G18:G23"/>
    <mergeCell ref="G24:G25"/>
    <mergeCell ref="G26:G31"/>
    <mergeCell ref="G32:G37"/>
    <mergeCell ref="G38:G43"/>
    <mergeCell ref="G44:G49"/>
    <mergeCell ref="G50:G54"/>
    <mergeCell ref="G55:G57"/>
    <mergeCell ref="G58:G60"/>
    <mergeCell ref="G61:G63"/>
    <mergeCell ref="G64:G66"/>
    <mergeCell ref="G67:G69"/>
    <mergeCell ref="G70:G72"/>
    <mergeCell ref="G73:G75"/>
    <mergeCell ref="G76:G78"/>
    <mergeCell ref="G79:G81"/>
    <mergeCell ref="G82:G84"/>
    <mergeCell ref="G85:G86"/>
    <mergeCell ref="G87:G88"/>
    <mergeCell ref="G89:G91"/>
    <mergeCell ref="G93:G98"/>
    <mergeCell ref="G99:G104"/>
    <mergeCell ref="G105:G110"/>
    <mergeCell ref="G111:G113"/>
    <mergeCell ref="G114:G115"/>
    <mergeCell ref="G116:G117"/>
    <mergeCell ref="G118:G120"/>
    <mergeCell ref="G121:G123"/>
    <mergeCell ref="G124:G125"/>
    <mergeCell ref="G126:G127"/>
    <mergeCell ref="G128:G130"/>
    <mergeCell ref="G131:G133"/>
    <mergeCell ref="H2:H6"/>
    <mergeCell ref="H7:H11"/>
    <mergeCell ref="H12:H17"/>
    <mergeCell ref="H18:H23"/>
    <mergeCell ref="H24:H25"/>
    <mergeCell ref="H26:H31"/>
    <mergeCell ref="H32:H37"/>
    <mergeCell ref="H38:H43"/>
    <mergeCell ref="H44:H49"/>
    <mergeCell ref="H50:H54"/>
    <mergeCell ref="H55:H57"/>
    <mergeCell ref="H58:H60"/>
    <mergeCell ref="H61:H63"/>
    <mergeCell ref="H64:H66"/>
    <mergeCell ref="H67:H69"/>
    <mergeCell ref="H70:H72"/>
    <mergeCell ref="H73:H75"/>
    <mergeCell ref="H76:H78"/>
    <mergeCell ref="H79:H81"/>
    <mergeCell ref="H82:H84"/>
    <mergeCell ref="H85:H86"/>
    <mergeCell ref="H87:H88"/>
    <mergeCell ref="H89:H91"/>
    <mergeCell ref="H93:H95"/>
    <mergeCell ref="H96:H98"/>
    <mergeCell ref="H99:H101"/>
    <mergeCell ref="H102:H104"/>
    <mergeCell ref="H105:H107"/>
    <mergeCell ref="H108:H110"/>
    <mergeCell ref="H111:H113"/>
    <mergeCell ref="H114:H115"/>
    <mergeCell ref="H116:H117"/>
    <mergeCell ref="H118:H120"/>
    <mergeCell ref="H121:H123"/>
    <mergeCell ref="H124:H125"/>
    <mergeCell ref="H126:H127"/>
    <mergeCell ref="H128:H130"/>
    <mergeCell ref="H131:H133"/>
    <mergeCell ref="K2:K6"/>
    <mergeCell ref="K7:K11"/>
    <mergeCell ref="K12:K17"/>
    <mergeCell ref="K18:K23"/>
    <mergeCell ref="K24:K25"/>
    <mergeCell ref="K26:K31"/>
    <mergeCell ref="K32:K37"/>
    <mergeCell ref="K38:K43"/>
    <mergeCell ref="K44:K49"/>
    <mergeCell ref="K50:K54"/>
    <mergeCell ref="K55:K60"/>
    <mergeCell ref="K61:K66"/>
    <mergeCell ref="K67:K72"/>
    <mergeCell ref="K73:K78"/>
    <mergeCell ref="K79:K84"/>
    <mergeCell ref="K85:K88"/>
    <mergeCell ref="K89:K91"/>
    <mergeCell ref="K93:K98"/>
    <mergeCell ref="K99:K104"/>
    <mergeCell ref="K105:K110"/>
    <mergeCell ref="K111:K115"/>
    <mergeCell ref="K116:K117"/>
    <mergeCell ref="K118:K120"/>
    <mergeCell ref="K121:K123"/>
    <mergeCell ref="K124:K127"/>
    <mergeCell ref="K128:K133"/>
    <mergeCell ref="S2:S6"/>
    <mergeCell ref="S7:S11"/>
    <mergeCell ref="S12:S17"/>
    <mergeCell ref="S18:S23"/>
    <mergeCell ref="S24:S25"/>
    <mergeCell ref="S26:S31"/>
    <mergeCell ref="S32:S37"/>
    <mergeCell ref="S38:S43"/>
    <mergeCell ref="S44:S49"/>
    <mergeCell ref="S50:S54"/>
    <mergeCell ref="S55:S60"/>
    <mergeCell ref="S61:S66"/>
    <mergeCell ref="S67:S72"/>
    <mergeCell ref="S73:S78"/>
    <mergeCell ref="S79:S84"/>
    <mergeCell ref="S85:S88"/>
    <mergeCell ref="S89:S91"/>
    <mergeCell ref="S93:S98"/>
    <mergeCell ref="S99:S104"/>
    <mergeCell ref="S105:S110"/>
    <mergeCell ref="S111:S113"/>
    <mergeCell ref="S114:S115"/>
    <mergeCell ref="S116:S117"/>
    <mergeCell ref="S118:S120"/>
    <mergeCell ref="S121:S123"/>
    <mergeCell ref="S124:S125"/>
    <mergeCell ref="S126:S127"/>
    <mergeCell ref="S128:S133"/>
    <mergeCell ref="V2:V6"/>
    <mergeCell ref="V7:V11"/>
    <mergeCell ref="V12:V17"/>
    <mergeCell ref="V18:V23"/>
    <mergeCell ref="V24:V25"/>
    <mergeCell ref="V26:V31"/>
    <mergeCell ref="V32:V37"/>
    <mergeCell ref="V38:V43"/>
    <mergeCell ref="V44:V49"/>
    <mergeCell ref="V50:V54"/>
    <mergeCell ref="V55:V60"/>
    <mergeCell ref="V61:V66"/>
    <mergeCell ref="V67:V72"/>
    <mergeCell ref="V73:V78"/>
    <mergeCell ref="V79:V84"/>
    <mergeCell ref="V85:V88"/>
    <mergeCell ref="V89:V91"/>
    <mergeCell ref="V93:V98"/>
    <mergeCell ref="V99:V104"/>
    <mergeCell ref="V105:V110"/>
    <mergeCell ref="V111:V115"/>
    <mergeCell ref="V116:V117"/>
    <mergeCell ref="V118:V120"/>
    <mergeCell ref="V121:V123"/>
    <mergeCell ref="V124:V127"/>
    <mergeCell ref="V128:V133"/>
  </mergeCells>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52"/>
  <sheetViews>
    <sheetView zoomScale="89" zoomScaleNormal="89" topLeftCell="A25" workbookViewId="0">
      <selection activeCell="I44" sqref="I44:K48"/>
    </sheetView>
  </sheetViews>
  <sheetFormatPr defaultColWidth="9.16346153846154" defaultRowHeight="16.8"/>
  <cols>
    <col min="1" max="1" width="11.6634615384615" style="62" customWidth="1"/>
    <col min="2" max="2" width="12.1634615384615" style="62" customWidth="1"/>
    <col min="3" max="3" width="10.2596153846154" style="111" customWidth="1"/>
    <col min="4" max="4" width="18" style="62" customWidth="1"/>
    <col min="5" max="5" width="10.4423076923077" style="62" customWidth="1"/>
    <col min="6" max="6" width="9.16346153846154" style="62" hidden="1" customWidth="1"/>
    <col min="7" max="7" width="10.2596153846154" style="62" customWidth="1"/>
    <col min="8" max="8" width="9.16346153846154" style="62" customWidth="1"/>
    <col min="9" max="9" width="36.8365384615385" style="62" customWidth="1"/>
    <col min="10" max="10" width="20.6634615384615" style="62" customWidth="1"/>
    <col min="11" max="11" width="25.5" style="62" customWidth="1"/>
    <col min="12" max="16384" width="9.16346153846154" style="62" customWidth="1"/>
  </cols>
  <sheetData>
    <row r="1" s="85" customFormat="1" ht="36" customHeight="1" spans="1:22">
      <c r="A1" s="85" t="s">
        <v>0</v>
      </c>
      <c r="B1" s="65" t="s">
        <v>1</v>
      </c>
      <c r="C1" s="65" t="s">
        <v>2</v>
      </c>
      <c r="D1" s="65" t="s">
        <v>3</v>
      </c>
      <c r="E1" s="65" t="s">
        <v>536</v>
      </c>
      <c r="F1" s="65" t="s">
        <v>669</v>
      </c>
      <c r="G1" s="65" t="s">
        <v>537</v>
      </c>
      <c r="H1" s="65" t="s">
        <v>538</v>
      </c>
      <c r="I1" s="65" t="s">
        <v>539</v>
      </c>
      <c r="J1" s="84" t="s">
        <v>540</v>
      </c>
      <c r="K1" s="84" t="s">
        <v>541</v>
      </c>
      <c r="L1" s="65" t="s">
        <v>542</v>
      </c>
      <c r="M1" s="65" t="s">
        <v>543</v>
      </c>
      <c r="N1" s="65" t="s">
        <v>544</v>
      </c>
      <c r="O1" s="65" t="s">
        <v>545</v>
      </c>
      <c r="P1" s="65" t="s">
        <v>546</v>
      </c>
      <c r="Q1" s="65" t="s">
        <v>547</v>
      </c>
      <c r="R1" s="65" t="s">
        <v>548</v>
      </c>
      <c r="S1" s="65" t="s">
        <v>549</v>
      </c>
      <c r="T1" s="65" t="s">
        <v>550</v>
      </c>
      <c r="U1" s="65" t="s">
        <v>551</v>
      </c>
      <c r="V1" s="65" t="s">
        <v>552</v>
      </c>
    </row>
    <row r="2" spans="1:22">
      <c r="A2" s="112" t="s">
        <v>670</v>
      </c>
      <c r="B2" s="113" t="s">
        <v>143</v>
      </c>
      <c r="C2" s="112" t="s">
        <v>671</v>
      </c>
      <c r="D2" s="112" t="s">
        <v>177</v>
      </c>
      <c r="E2" s="113" t="s">
        <v>629</v>
      </c>
      <c r="F2" s="113" t="s">
        <v>672</v>
      </c>
      <c r="G2" s="113" t="s">
        <v>673</v>
      </c>
      <c r="H2" s="113"/>
      <c r="I2" s="112" t="s">
        <v>674</v>
      </c>
      <c r="J2" s="113" t="s">
        <v>675</v>
      </c>
      <c r="K2" s="113">
        <v>0</v>
      </c>
      <c r="L2" s="113">
        <v>0</v>
      </c>
      <c r="M2" s="113"/>
      <c r="N2" s="113"/>
      <c r="O2" s="113"/>
      <c r="P2" s="113"/>
      <c r="Q2" s="113"/>
      <c r="R2" s="113"/>
      <c r="S2" s="113"/>
      <c r="T2" s="112" t="s">
        <v>676</v>
      </c>
      <c r="U2" s="112"/>
      <c r="V2" s="113"/>
    </row>
    <row r="3" spans="1:22">
      <c r="A3" s="14"/>
      <c r="B3" s="14"/>
      <c r="C3" s="14"/>
      <c r="D3" s="14"/>
      <c r="E3" s="14"/>
      <c r="F3" s="14"/>
      <c r="G3" s="14"/>
      <c r="H3" s="14"/>
      <c r="I3" s="14"/>
      <c r="J3" s="113" t="s">
        <v>677</v>
      </c>
      <c r="K3" s="113">
        <v>-2</v>
      </c>
      <c r="L3" s="14"/>
      <c r="M3" s="14"/>
      <c r="N3" s="14"/>
      <c r="O3" s="14"/>
      <c r="P3" s="14"/>
      <c r="Q3" s="14"/>
      <c r="R3" s="14"/>
      <c r="S3" s="14"/>
      <c r="T3" s="14"/>
      <c r="U3" s="14"/>
      <c r="V3" s="14"/>
    </row>
    <row r="4" spans="1:22">
      <c r="A4" s="14"/>
      <c r="B4" s="14"/>
      <c r="C4" s="14"/>
      <c r="D4" s="14"/>
      <c r="E4" s="14"/>
      <c r="F4" s="14"/>
      <c r="G4" s="14"/>
      <c r="H4" s="14"/>
      <c r="I4" s="14"/>
      <c r="J4" s="113" t="s">
        <v>678</v>
      </c>
      <c r="K4" s="113">
        <v>-5</v>
      </c>
      <c r="L4" s="14"/>
      <c r="M4" s="14"/>
      <c r="N4" s="14"/>
      <c r="O4" s="14"/>
      <c r="P4" s="14"/>
      <c r="Q4" s="14"/>
      <c r="R4" s="14"/>
      <c r="S4" s="14"/>
      <c r="T4" s="14"/>
      <c r="U4" s="14"/>
      <c r="V4" s="14"/>
    </row>
    <row r="5" spans="1:22">
      <c r="A5" s="14"/>
      <c r="B5" s="14"/>
      <c r="C5" s="14"/>
      <c r="D5" s="14"/>
      <c r="E5" s="14"/>
      <c r="F5" s="14"/>
      <c r="G5" s="14"/>
      <c r="H5" s="14"/>
      <c r="I5" s="14"/>
      <c r="J5" s="113" t="s">
        <v>679</v>
      </c>
      <c r="K5" s="113">
        <v>-5</v>
      </c>
      <c r="L5" s="14"/>
      <c r="M5" s="14"/>
      <c r="N5" s="14"/>
      <c r="O5" s="14"/>
      <c r="P5" s="14"/>
      <c r="Q5" s="14"/>
      <c r="R5" s="14"/>
      <c r="S5" s="14"/>
      <c r="T5" s="14"/>
      <c r="U5" s="14"/>
      <c r="V5" s="14"/>
    </row>
    <row r="6" spans="1:22">
      <c r="A6" s="14"/>
      <c r="B6" s="14"/>
      <c r="C6" s="14"/>
      <c r="D6" s="14"/>
      <c r="E6" s="14"/>
      <c r="F6" s="14"/>
      <c r="G6" s="14"/>
      <c r="H6" s="14"/>
      <c r="I6" s="14"/>
      <c r="J6" s="113" t="s">
        <v>680</v>
      </c>
      <c r="K6" s="113">
        <v>-8</v>
      </c>
      <c r="L6" s="14"/>
      <c r="M6" s="14"/>
      <c r="N6" s="14"/>
      <c r="O6" s="14"/>
      <c r="P6" s="14"/>
      <c r="Q6" s="14"/>
      <c r="R6" s="14"/>
      <c r="S6" s="14"/>
      <c r="T6" s="14"/>
      <c r="U6" s="14"/>
      <c r="V6" s="14"/>
    </row>
    <row r="7" spans="1:22">
      <c r="A7" s="14"/>
      <c r="B7" s="14"/>
      <c r="C7" s="14"/>
      <c r="D7" s="14"/>
      <c r="E7" s="14"/>
      <c r="F7" s="14"/>
      <c r="G7" s="14"/>
      <c r="H7" s="14"/>
      <c r="I7" s="14"/>
      <c r="J7" s="113" t="s">
        <v>681</v>
      </c>
      <c r="K7" s="113">
        <v>-8</v>
      </c>
      <c r="L7" s="14"/>
      <c r="M7" s="14"/>
      <c r="N7" s="14"/>
      <c r="O7" s="14"/>
      <c r="P7" s="14"/>
      <c r="Q7" s="14"/>
      <c r="R7" s="14"/>
      <c r="S7" s="14"/>
      <c r="T7" s="14"/>
      <c r="U7" s="14"/>
      <c r="V7" s="14"/>
    </row>
    <row r="8" spans="1:22">
      <c r="A8" s="14"/>
      <c r="B8" s="14"/>
      <c r="C8" s="14"/>
      <c r="D8" s="14"/>
      <c r="E8" s="14"/>
      <c r="F8" s="14"/>
      <c r="G8" s="14"/>
      <c r="H8" s="14"/>
      <c r="I8" s="14"/>
      <c r="J8" s="113" t="s">
        <v>682</v>
      </c>
      <c r="K8" s="113">
        <v>-8</v>
      </c>
      <c r="L8" s="14"/>
      <c r="M8" s="14"/>
      <c r="N8" s="14"/>
      <c r="O8" s="14"/>
      <c r="P8" s="14"/>
      <c r="Q8" s="14"/>
      <c r="R8" s="14"/>
      <c r="S8" s="14"/>
      <c r="T8" s="14"/>
      <c r="U8" s="14"/>
      <c r="V8" s="14"/>
    </row>
    <row r="9" spans="1:22">
      <c r="A9" s="14"/>
      <c r="B9" s="14"/>
      <c r="C9" s="14"/>
      <c r="D9" s="14"/>
      <c r="E9" s="14"/>
      <c r="F9" s="15"/>
      <c r="G9" s="15"/>
      <c r="H9" s="15"/>
      <c r="I9" s="14"/>
      <c r="J9" s="113" t="s">
        <v>683</v>
      </c>
      <c r="K9" s="113">
        <v>-10</v>
      </c>
      <c r="L9" s="15"/>
      <c r="M9" s="15"/>
      <c r="N9" s="15"/>
      <c r="O9" s="15"/>
      <c r="P9" s="15"/>
      <c r="Q9" s="15"/>
      <c r="R9" s="15"/>
      <c r="S9" s="15"/>
      <c r="T9" s="14"/>
      <c r="U9" s="14"/>
      <c r="V9" s="14"/>
    </row>
    <row r="10" spans="1:22">
      <c r="A10" s="14"/>
      <c r="B10" s="14"/>
      <c r="C10" s="14"/>
      <c r="D10" s="14"/>
      <c r="E10" s="14"/>
      <c r="F10" s="113" t="s">
        <v>684</v>
      </c>
      <c r="G10" s="113" t="s">
        <v>685</v>
      </c>
      <c r="H10" s="113"/>
      <c r="I10" s="14"/>
      <c r="J10" s="116" t="s">
        <v>686</v>
      </c>
      <c r="K10" s="116" t="s">
        <v>687</v>
      </c>
      <c r="L10" s="113">
        <v>0</v>
      </c>
      <c r="M10" s="113"/>
      <c r="N10" s="113"/>
      <c r="O10" s="113"/>
      <c r="P10" s="113"/>
      <c r="Q10" s="113"/>
      <c r="R10" s="113"/>
      <c r="S10" s="113"/>
      <c r="T10" s="14"/>
      <c r="U10" s="14"/>
      <c r="V10" s="14"/>
    </row>
    <row r="11" spans="1:22">
      <c r="A11" s="14"/>
      <c r="B11" s="14"/>
      <c r="C11" s="14"/>
      <c r="D11" s="14"/>
      <c r="E11" s="14"/>
      <c r="F11" s="14"/>
      <c r="G11" s="14"/>
      <c r="H11" s="14"/>
      <c r="I11" s="14"/>
      <c r="J11" s="116" t="s">
        <v>688</v>
      </c>
      <c r="K11" s="116" t="s">
        <v>689</v>
      </c>
      <c r="L11" s="14"/>
      <c r="M11" s="14"/>
      <c r="N11" s="14"/>
      <c r="O11" s="14"/>
      <c r="P11" s="14"/>
      <c r="Q11" s="14"/>
      <c r="R11" s="14"/>
      <c r="S11" s="14"/>
      <c r="T11" s="14"/>
      <c r="U11" s="14"/>
      <c r="V11" s="14"/>
    </row>
    <row r="12" spans="1:22">
      <c r="A12" s="14"/>
      <c r="B12" s="14"/>
      <c r="C12" s="14"/>
      <c r="D12" s="14"/>
      <c r="E12" s="14"/>
      <c r="F12" s="14"/>
      <c r="G12" s="14"/>
      <c r="H12" s="14"/>
      <c r="I12" s="14"/>
      <c r="J12" s="116" t="s">
        <v>690</v>
      </c>
      <c r="K12" s="116" t="s">
        <v>691</v>
      </c>
      <c r="L12" s="14"/>
      <c r="M12" s="14"/>
      <c r="N12" s="14"/>
      <c r="O12" s="14"/>
      <c r="P12" s="14"/>
      <c r="Q12" s="14"/>
      <c r="R12" s="14"/>
      <c r="S12" s="14"/>
      <c r="T12" s="14"/>
      <c r="U12" s="14"/>
      <c r="V12" s="14"/>
    </row>
    <row r="13" spans="1:22">
      <c r="A13" s="14"/>
      <c r="B13" s="14"/>
      <c r="C13" s="14"/>
      <c r="D13" s="14"/>
      <c r="E13" s="14"/>
      <c r="F13" s="15"/>
      <c r="G13" s="15"/>
      <c r="H13" s="15"/>
      <c r="I13" s="14"/>
      <c r="J13" s="116" t="s">
        <v>692</v>
      </c>
      <c r="K13" s="116">
        <v>-10</v>
      </c>
      <c r="L13" s="15"/>
      <c r="M13" s="15"/>
      <c r="N13" s="15"/>
      <c r="O13" s="15"/>
      <c r="P13" s="15"/>
      <c r="Q13" s="15"/>
      <c r="R13" s="15"/>
      <c r="S13" s="15"/>
      <c r="T13" s="14"/>
      <c r="U13" s="14"/>
      <c r="V13" s="14"/>
    </row>
    <row r="14" spans="1:22">
      <c r="A14" s="14"/>
      <c r="B14" s="14"/>
      <c r="C14" s="14"/>
      <c r="D14" s="14"/>
      <c r="E14" s="14"/>
      <c r="F14" s="113" t="s">
        <v>684</v>
      </c>
      <c r="G14" s="113" t="s">
        <v>693</v>
      </c>
      <c r="H14" s="113"/>
      <c r="I14" s="14"/>
      <c r="J14" s="116">
        <v>0</v>
      </c>
      <c r="K14" s="116">
        <v>0</v>
      </c>
      <c r="L14" s="113">
        <v>0</v>
      </c>
      <c r="M14" s="113"/>
      <c r="N14" s="113"/>
      <c r="O14" s="113"/>
      <c r="P14" s="113"/>
      <c r="Q14" s="113"/>
      <c r="R14" s="113"/>
      <c r="S14" s="113"/>
      <c r="T14" s="14"/>
      <c r="U14" s="14"/>
      <c r="V14" s="14"/>
    </row>
    <row r="15" spans="1:22">
      <c r="A15" s="14"/>
      <c r="B15" s="14"/>
      <c r="C15" s="14"/>
      <c r="D15" s="14"/>
      <c r="E15" s="14"/>
      <c r="F15" s="14"/>
      <c r="G15" s="14"/>
      <c r="H15" s="14"/>
      <c r="I15" s="14"/>
      <c r="J15" s="113" t="s">
        <v>694</v>
      </c>
      <c r="K15" s="113" t="s">
        <v>695</v>
      </c>
      <c r="L15" s="14"/>
      <c r="M15" s="14"/>
      <c r="N15" s="14"/>
      <c r="O15" s="14"/>
      <c r="P15" s="14"/>
      <c r="Q15" s="14"/>
      <c r="R15" s="14"/>
      <c r="S15" s="14"/>
      <c r="T15" s="14"/>
      <c r="U15" s="14"/>
      <c r="V15" s="14"/>
    </row>
    <row r="16" spans="1:22">
      <c r="A16" s="14"/>
      <c r="B16" s="14"/>
      <c r="C16" s="14"/>
      <c r="D16" s="14"/>
      <c r="E16" s="14"/>
      <c r="F16" s="14"/>
      <c r="G16" s="14"/>
      <c r="H16" s="14"/>
      <c r="I16" s="14"/>
      <c r="J16" s="113" t="s">
        <v>696</v>
      </c>
      <c r="K16" s="113" t="s">
        <v>697</v>
      </c>
      <c r="L16" s="14"/>
      <c r="M16" s="14"/>
      <c r="N16" s="14"/>
      <c r="O16" s="14"/>
      <c r="P16" s="14"/>
      <c r="Q16" s="14"/>
      <c r="R16" s="14"/>
      <c r="S16" s="14"/>
      <c r="T16" s="14"/>
      <c r="U16" s="14"/>
      <c r="V16" s="14"/>
    </row>
    <row r="17" spans="1:22">
      <c r="A17" s="14"/>
      <c r="B17" s="14"/>
      <c r="C17" s="15"/>
      <c r="D17" s="15"/>
      <c r="E17" s="15"/>
      <c r="F17" s="15"/>
      <c r="G17" s="15"/>
      <c r="H17" s="15"/>
      <c r="I17" s="15"/>
      <c r="J17" s="113" t="s">
        <v>698</v>
      </c>
      <c r="K17" s="113">
        <v>-10</v>
      </c>
      <c r="L17" s="15"/>
      <c r="M17" s="15"/>
      <c r="N17" s="15"/>
      <c r="O17" s="15"/>
      <c r="P17" s="15"/>
      <c r="Q17" s="15"/>
      <c r="R17" s="15"/>
      <c r="S17" s="15"/>
      <c r="T17" s="15"/>
      <c r="U17" s="15"/>
      <c r="V17" s="15"/>
    </row>
    <row r="18" spans="1:22">
      <c r="A18" s="14"/>
      <c r="B18" s="14"/>
      <c r="C18" s="112" t="s">
        <v>699</v>
      </c>
      <c r="D18" s="112" t="s">
        <v>185</v>
      </c>
      <c r="E18" s="113" t="s">
        <v>629</v>
      </c>
      <c r="F18" s="113" t="s">
        <v>672</v>
      </c>
      <c r="G18" s="113" t="s">
        <v>673</v>
      </c>
      <c r="H18" s="113"/>
      <c r="I18" s="112" t="s">
        <v>700</v>
      </c>
      <c r="J18" s="113" t="s">
        <v>675</v>
      </c>
      <c r="K18" s="113">
        <v>0</v>
      </c>
      <c r="L18" s="113">
        <v>0</v>
      </c>
      <c r="M18" s="113"/>
      <c r="N18" s="113"/>
      <c r="O18" s="113"/>
      <c r="P18" s="113"/>
      <c r="Q18" s="113"/>
      <c r="R18" s="113"/>
      <c r="S18" s="113"/>
      <c r="T18" s="112" t="s">
        <v>701</v>
      </c>
      <c r="U18" s="113"/>
      <c r="V18" s="113"/>
    </row>
    <row r="19" spans="1:22">
      <c r="A19" s="14"/>
      <c r="B19" s="14"/>
      <c r="C19" s="14"/>
      <c r="D19" s="14"/>
      <c r="E19" s="14"/>
      <c r="F19" s="14"/>
      <c r="G19" s="14"/>
      <c r="H19" s="14"/>
      <c r="I19" s="14"/>
      <c r="J19" s="113" t="s">
        <v>677</v>
      </c>
      <c r="K19" s="113">
        <v>-2</v>
      </c>
      <c r="L19" s="14"/>
      <c r="M19" s="14"/>
      <c r="N19" s="14"/>
      <c r="O19" s="14"/>
      <c r="P19" s="14"/>
      <c r="Q19" s="14"/>
      <c r="R19" s="14"/>
      <c r="S19" s="14"/>
      <c r="T19" s="14"/>
      <c r="U19" s="14"/>
      <c r="V19" s="14"/>
    </row>
    <row r="20" spans="1:22">
      <c r="A20" s="14"/>
      <c r="B20" s="14"/>
      <c r="C20" s="14"/>
      <c r="D20" s="14"/>
      <c r="E20" s="14"/>
      <c r="F20" s="14"/>
      <c r="G20" s="14"/>
      <c r="H20" s="14"/>
      <c r="I20" s="14"/>
      <c r="J20" s="113" t="s">
        <v>678</v>
      </c>
      <c r="K20" s="113">
        <v>-5</v>
      </c>
      <c r="L20" s="14"/>
      <c r="M20" s="14"/>
      <c r="N20" s="14"/>
      <c r="O20" s="14"/>
      <c r="P20" s="14"/>
      <c r="Q20" s="14"/>
      <c r="R20" s="14"/>
      <c r="S20" s="14"/>
      <c r="T20" s="14"/>
      <c r="U20" s="14"/>
      <c r="V20" s="14"/>
    </row>
    <row r="21" spans="1:22">
      <c r="A21" s="14"/>
      <c r="B21" s="14"/>
      <c r="C21" s="14"/>
      <c r="D21" s="14"/>
      <c r="E21" s="14"/>
      <c r="F21" s="14"/>
      <c r="G21" s="14"/>
      <c r="H21" s="14"/>
      <c r="I21" s="14"/>
      <c r="J21" s="113" t="s">
        <v>702</v>
      </c>
      <c r="K21" s="113">
        <v>-5</v>
      </c>
      <c r="L21" s="14"/>
      <c r="M21" s="14"/>
      <c r="N21" s="14"/>
      <c r="O21" s="14"/>
      <c r="P21" s="14"/>
      <c r="Q21" s="14"/>
      <c r="R21" s="14"/>
      <c r="S21" s="14"/>
      <c r="T21" s="14"/>
      <c r="U21" s="14"/>
      <c r="V21" s="14"/>
    </row>
    <row r="22" spans="1:22">
      <c r="A22" s="14"/>
      <c r="B22" s="14"/>
      <c r="C22" s="14"/>
      <c r="D22" s="14"/>
      <c r="E22" s="14"/>
      <c r="F22" s="14"/>
      <c r="G22" s="14"/>
      <c r="H22" s="14"/>
      <c r="I22" s="14"/>
      <c r="J22" s="113" t="s">
        <v>703</v>
      </c>
      <c r="K22" s="113">
        <v>-8</v>
      </c>
      <c r="L22" s="14"/>
      <c r="M22" s="14"/>
      <c r="N22" s="14"/>
      <c r="O22" s="14"/>
      <c r="P22" s="14"/>
      <c r="Q22" s="14"/>
      <c r="R22" s="14"/>
      <c r="S22" s="14"/>
      <c r="T22" s="14"/>
      <c r="U22" s="14"/>
      <c r="V22" s="14"/>
    </row>
    <row r="23" spans="1:22">
      <c r="A23" s="14"/>
      <c r="B23" s="14"/>
      <c r="C23" s="14"/>
      <c r="D23" s="14"/>
      <c r="E23" s="14"/>
      <c r="F23" s="14"/>
      <c r="G23" s="14"/>
      <c r="H23" s="14"/>
      <c r="I23" s="14"/>
      <c r="J23" s="113" t="s">
        <v>682</v>
      </c>
      <c r="K23" s="113">
        <v>-8</v>
      </c>
      <c r="L23" s="14"/>
      <c r="M23" s="14"/>
      <c r="N23" s="14"/>
      <c r="O23" s="14"/>
      <c r="P23" s="14"/>
      <c r="Q23" s="14"/>
      <c r="R23" s="14"/>
      <c r="S23" s="14"/>
      <c r="T23" s="14"/>
      <c r="U23" s="14"/>
      <c r="V23" s="14"/>
    </row>
    <row r="24" spans="1:22">
      <c r="A24" s="14"/>
      <c r="B24" s="14"/>
      <c r="C24" s="14"/>
      <c r="D24" s="14"/>
      <c r="E24" s="14"/>
      <c r="F24" s="14"/>
      <c r="G24" s="14"/>
      <c r="H24" s="14"/>
      <c r="I24" s="14"/>
      <c r="J24" s="113" t="s">
        <v>704</v>
      </c>
      <c r="K24" s="113">
        <v>-8</v>
      </c>
      <c r="L24" s="14"/>
      <c r="M24" s="14"/>
      <c r="N24" s="14"/>
      <c r="O24" s="14"/>
      <c r="P24" s="14"/>
      <c r="Q24" s="14"/>
      <c r="R24" s="14"/>
      <c r="S24" s="14"/>
      <c r="T24" s="14"/>
      <c r="U24" s="14"/>
      <c r="V24" s="14"/>
    </row>
    <row r="25" spans="1:22">
      <c r="A25" s="14"/>
      <c r="B25" s="14"/>
      <c r="C25" s="14"/>
      <c r="D25" s="14"/>
      <c r="E25" s="14"/>
      <c r="F25" s="15"/>
      <c r="G25" s="15"/>
      <c r="H25" s="15"/>
      <c r="I25" s="14"/>
      <c r="J25" s="113" t="s">
        <v>705</v>
      </c>
      <c r="K25" s="113">
        <v>-10</v>
      </c>
      <c r="L25" s="15"/>
      <c r="M25" s="15"/>
      <c r="N25" s="15"/>
      <c r="O25" s="15"/>
      <c r="P25" s="15"/>
      <c r="Q25" s="15"/>
      <c r="R25" s="15"/>
      <c r="S25" s="15"/>
      <c r="T25" s="14"/>
      <c r="U25" s="14"/>
      <c r="V25" s="14"/>
    </row>
    <row r="26" spans="1:22">
      <c r="A26" s="14"/>
      <c r="B26" s="14"/>
      <c r="C26" s="14"/>
      <c r="D26" s="14"/>
      <c r="E26" s="14"/>
      <c r="F26" s="113" t="s">
        <v>684</v>
      </c>
      <c r="G26" s="113" t="s">
        <v>685</v>
      </c>
      <c r="H26" s="113"/>
      <c r="I26" s="14"/>
      <c r="J26" s="113" t="s">
        <v>686</v>
      </c>
      <c r="K26" s="113" t="s">
        <v>706</v>
      </c>
      <c r="L26" s="113">
        <v>0</v>
      </c>
      <c r="M26" s="113"/>
      <c r="N26" s="113"/>
      <c r="O26" s="113"/>
      <c r="P26" s="113"/>
      <c r="Q26" s="113"/>
      <c r="R26" s="113"/>
      <c r="S26" s="113"/>
      <c r="T26" s="14"/>
      <c r="U26" s="14"/>
      <c r="V26" s="14"/>
    </row>
    <row r="27" spans="1:22">
      <c r="A27" s="14"/>
      <c r="B27" s="14"/>
      <c r="C27" s="14"/>
      <c r="D27" s="14"/>
      <c r="E27" s="14"/>
      <c r="F27" s="14"/>
      <c r="G27" s="14"/>
      <c r="H27" s="14"/>
      <c r="I27" s="14"/>
      <c r="J27" s="113" t="s">
        <v>707</v>
      </c>
      <c r="K27" s="113" t="s">
        <v>708</v>
      </c>
      <c r="L27" s="14"/>
      <c r="M27" s="14"/>
      <c r="N27" s="14"/>
      <c r="O27" s="14"/>
      <c r="P27" s="14"/>
      <c r="Q27" s="14"/>
      <c r="R27" s="14"/>
      <c r="S27" s="14"/>
      <c r="T27" s="14"/>
      <c r="U27" s="14"/>
      <c r="V27" s="14"/>
    </row>
    <row r="28" spans="1:22">
      <c r="A28" s="14"/>
      <c r="B28" s="14"/>
      <c r="C28" s="14"/>
      <c r="D28" s="14"/>
      <c r="E28" s="14"/>
      <c r="F28" s="14"/>
      <c r="G28" s="14"/>
      <c r="H28" s="14"/>
      <c r="I28" s="14"/>
      <c r="J28" s="113" t="s">
        <v>709</v>
      </c>
      <c r="K28" s="113" t="s">
        <v>710</v>
      </c>
      <c r="L28" s="14"/>
      <c r="M28" s="14"/>
      <c r="N28" s="14"/>
      <c r="O28" s="14"/>
      <c r="P28" s="14"/>
      <c r="Q28" s="14"/>
      <c r="R28" s="14"/>
      <c r="S28" s="14"/>
      <c r="T28" s="14"/>
      <c r="U28" s="14"/>
      <c r="V28" s="14"/>
    </row>
    <row r="29" spans="1:22">
      <c r="A29" s="14"/>
      <c r="B29" s="14"/>
      <c r="C29" s="14"/>
      <c r="D29" s="14"/>
      <c r="E29" s="14"/>
      <c r="F29" s="15"/>
      <c r="G29" s="15"/>
      <c r="H29" s="15"/>
      <c r="I29" s="14"/>
      <c r="J29" s="113" t="s">
        <v>711</v>
      </c>
      <c r="K29" s="113">
        <v>-1</v>
      </c>
      <c r="L29" s="15"/>
      <c r="M29" s="15"/>
      <c r="N29" s="15"/>
      <c r="O29" s="15"/>
      <c r="P29" s="15"/>
      <c r="Q29" s="15"/>
      <c r="R29" s="15"/>
      <c r="S29" s="15"/>
      <c r="T29" s="14"/>
      <c r="U29" s="14"/>
      <c r="V29" s="14"/>
    </row>
    <row r="30" spans="1:22">
      <c r="A30" s="14"/>
      <c r="B30" s="14"/>
      <c r="C30" s="14"/>
      <c r="D30" s="14"/>
      <c r="E30" s="14"/>
      <c r="F30" s="113" t="s">
        <v>672</v>
      </c>
      <c r="G30" s="113" t="s">
        <v>693</v>
      </c>
      <c r="H30" s="113"/>
      <c r="I30" s="14"/>
      <c r="J30" s="113">
        <v>0</v>
      </c>
      <c r="K30" s="113">
        <v>0</v>
      </c>
      <c r="L30" s="113">
        <v>0</v>
      </c>
      <c r="M30" s="113"/>
      <c r="N30" s="113"/>
      <c r="O30" s="113"/>
      <c r="P30" s="113"/>
      <c r="Q30" s="113"/>
      <c r="R30" s="113"/>
      <c r="S30" s="113"/>
      <c r="T30" s="14"/>
      <c r="U30" s="14"/>
      <c r="V30" s="14"/>
    </row>
    <row r="31" spans="1:22">
      <c r="A31" s="14"/>
      <c r="B31" s="14"/>
      <c r="C31" s="14"/>
      <c r="D31" s="14"/>
      <c r="E31" s="14"/>
      <c r="F31" s="14"/>
      <c r="G31" s="14"/>
      <c r="H31" s="14"/>
      <c r="I31" s="14"/>
      <c r="J31" s="113">
        <v>1</v>
      </c>
      <c r="K31" s="113">
        <v>-2.5</v>
      </c>
      <c r="L31" s="14"/>
      <c r="M31" s="14"/>
      <c r="N31" s="14"/>
      <c r="O31" s="14"/>
      <c r="P31" s="14"/>
      <c r="Q31" s="14"/>
      <c r="R31" s="14"/>
      <c r="S31" s="14"/>
      <c r="T31" s="14"/>
      <c r="U31" s="14"/>
      <c r="V31" s="14"/>
    </row>
    <row r="32" spans="1:22">
      <c r="A32" s="14"/>
      <c r="B32" s="14"/>
      <c r="C32" s="14"/>
      <c r="D32" s="14"/>
      <c r="E32" s="14"/>
      <c r="F32" s="14"/>
      <c r="G32" s="14"/>
      <c r="H32" s="14"/>
      <c r="I32" s="14"/>
      <c r="J32" s="113">
        <v>2</v>
      </c>
      <c r="K32" s="113">
        <v>-5</v>
      </c>
      <c r="L32" s="14"/>
      <c r="M32" s="14"/>
      <c r="N32" s="14"/>
      <c r="O32" s="14"/>
      <c r="P32" s="14"/>
      <c r="Q32" s="14"/>
      <c r="R32" s="14"/>
      <c r="S32" s="14"/>
      <c r="T32" s="14"/>
      <c r="U32" s="14"/>
      <c r="V32" s="14"/>
    </row>
    <row r="33" spans="1:22">
      <c r="A33" s="14"/>
      <c r="B33" s="14"/>
      <c r="C33" s="14"/>
      <c r="D33" s="14"/>
      <c r="E33" s="14"/>
      <c r="F33" s="14"/>
      <c r="G33" s="14"/>
      <c r="H33" s="14"/>
      <c r="I33" s="14"/>
      <c r="J33" s="113">
        <v>3</v>
      </c>
      <c r="K33" s="113">
        <v>-7.5</v>
      </c>
      <c r="L33" s="14"/>
      <c r="M33" s="14"/>
      <c r="N33" s="14"/>
      <c r="O33" s="14"/>
      <c r="P33" s="14"/>
      <c r="Q33" s="14"/>
      <c r="R33" s="14"/>
      <c r="S33" s="14"/>
      <c r="T33" s="14"/>
      <c r="U33" s="14"/>
      <c r="V33" s="14"/>
    </row>
    <row r="34" spans="1:22">
      <c r="A34" s="14"/>
      <c r="B34" s="14"/>
      <c r="C34" s="15"/>
      <c r="D34" s="15"/>
      <c r="E34" s="15"/>
      <c r="F34" s="15"/>
      <c r="G34" s="15"/>
      <c r="H34" s="15"/>
      <c r="I34" s="15"/>
      <c r="J34" s="113" t="s">
        <v>712</v>
      </c>
      <c r="K34" s="113">
        <v>-10</v>
      </c>
      <c r="L34" s="15"/>
      <c r="M34" s="15"/>
      <c r="N34" s="15"/>
      <c r="O34" s="15"/>
      <c r="P34" s="15"/>
      <c r="Q34" s="15"/>
      <c r="R34" s="15"/>
      <c r="S34" s="15"/>
      <c r="T34" s="15"/>
      <c r="U34" s="15"/>
      <c r="V34" s="15"/>
    </row>
    <row r="35" spans="1:22">
      <c r="A35" s="14"/>
      <c r="B35" s="14"/>
      <c r="C35" s="112" t="s">
        <v>713</v>
      </c>
      <c r="D35" s="112" t="s">
        <v>193</v>
      </c>
      <c r="E35" s="113" t="s">
        <v>629</v>
      </c>
      <c r="F35" s="113" t="s">
        <v>684</v>
      </c>
      <c r="G35" s="113" t="s">
        <v>714</v>
      </c>
      <c r="H35" s="113"/>
      <c r="I35" s="112" t="s">
        <v>715</v>
      </c>
      <c r="J35" s="113" t="s">
        <v>716</v>
      </c>
      <c r="K35" s="113" t="s">
        <v>717</v>
      </c>
      <c r="L35" s="113">
        <v>0</v>
      </c>
      <c r="M35" s="113"/>
      <c r="N35" s="113"/>
      <c r="O35" s="113"/>
      <c r="P35" s="113"/>
      <c r="Q35" s="113"/>
      <c r="R35" s="113"/>
      <c r="S35" s="113"/>
      <c r="T35" s="112" t="s">
        <v>718</v>
      </c>
      <c r="U35" s="113"/>
      <c r="V35" s="113"/>
    </row>
    <row r="36" spans="1:22">
      <c r="A36" s="14"/>
      <c r="B36" s="14"/>
      <c r="C36" s="14"/>
      <c r="D36" s="14"/>
      <c r="E36" s="14"/>
      <c r="F36" s="14"/>
      <c r="G36" s="14"/>
      <c r="H36" s="14"/>
      <c r="I36" s="14"/>
      <c r="J36" s="113" t="s">
        <v>719</v>
      </c>
      <c r="K36" s="113" t="s">
        <v>720</v>
      </c>
      <c r="L36" s="14"/>
      <c r="M36" s="14"/>
      <c r="N36" s="14"/>
      <c r="O36" s="14"/>
      <c r="P36" s="14"/>
      <c r="Q36" s="14"/>
      <c r="R36" s="14"/>
      <c r="S36" s="14"/>
      <c r="T36" s="14"/>
      <c r="U36" s="14"/>
      <c r="V36" s="14"/>
    </row>
    <row r="37" spans="1:22">
      <c r="A37" s="14"/>
      <c r="B37" s="14"/>
      <c r="C37" s="14"/>
      <c r="D37" s="14"/>
      <c r="E37" s="14"/>
      <c r="F37" s="14"/>
      <c r="G37" s="14"/>
      <c r="H37" s="14"/>
      <c r="I37" s="14"/>
      <c r="J37" s="113" t="s">
        <v>721</v>
      </c>
      <c r="K37" s="113" t="s">
        <v>722</v>
      </c>
      <c r="L37" s="14"/>
      <c r="M37" s="14"/>
      <c r="N37" s="14"/>
      <c r="O37" s="14"/>
      <c r="P37" s="14"/>
      <c r="Q37" s="14"/>
      <c r="R37" s="14"/>
      <c r="S37" s="14"/>
      <c r="T37" s="14"/>
      <c r="U37" s="14"/>
      <c r="V37" s="14"/>
    </row>
    <row r="38" spans="1:22">
      <c r="A38" s="14"/>
      <c r="B38" s="14"/>
      <c r="C38" s="14"/>
      <c r="D38" s="14"/>
      <c r="E38" s="14"/>
      <c r="F38" s="15"/>
      <c r="G38" s="15"/>
      <c r="H38" s="15"/>
      <c r="I38" s="14"/>
      <c r="J38" s="113" t="s">
        <v>723</v>
      </c>
      <c r="K38" s="113">
        <v>-10</v>
      </c>
      <c r="L38" s="15"/>
      <c r="M38" s="15"/>
      <c r="N38" s="15"/>
      <c r="O38" s="15"/>
      <c r="P38" s="15"/>
      <c r="Q38" s="15"/>
      <c r="R38" s="15"/>
      <c r="S38" s="15"/>
      <c r="T38" s="14"/>
      <c r="U38" s="14"/>
      <c r="V38" s="14"/>
    </row>
    <row r="39" spans="1:22">
      <c r="A39" s="14"/>
      <c r="B39" s="14"/>
      <c r="C39" s="14"/>
      <c r="D39" s="14"/>
      <c r="E39" s="14"/>
      <c r="F39" s="113" t="s">
        <v>684</v>
      </c>
      <c r="G39" s="113" t="s">
        <v>724</v>
      </c>
      <c r="H39" s="113"/>
      <c r="I39" s="14"/>
      <c r="J39" s="113" t="s">
        <v>725</v>
      </c>
      <c r="K39" s="113" t="s">
        <v>726</v>
      </c>
      <c r="L39" s="113">
        <v>0</v>
      </c>
      <c r="M39" s="113"/>
      <c r="N39" s="113"/>
      <c r="O39" s="113"/>
      <c r="P39" s="113"/>
      <c r="Q39" s="113"/>
      <c r="R39" s="113"/>
      <c r="S39" s="113"/>
      <c r="T39" s="14"/>
      <c r="U39" s="14"/>
      <c r="V39" s="14"/>
    </row>
    <row r="40" spans="1:22">
      <c r="A40" s="14"/>
      <c r="B40" s="14"/>
      <c r="C40" s="14"/>
      <c r="D40" s="14"/>
      <c r="E40" s="14"/>
      <c r="F40" s="14"/>
      <c r="G40" s="14"/>
      <c r="H40" s="14"/>
      <c r="I40" s="14"/>
      <c r="J40" s="113" t="s">
        <v>727</v>
      </c>
      <c r="K40" s="113" t="s">
        <v>728</v>
      </c>
      <c r="L40" s="14"/>
      <c r="M40" s="14"/>
      <c r="N40" s="14"/>
      <c r="O40" s="14"/>
      <c r="P40" s="14"/>
      <c r="Q40" s="14"/>
      <c r="R40" s="14"/>
      <c r="S40" s="14"/>
      <c r="T40" s="14"/>
      <c r="U40" s="14"/>
      <c r="V40" s="14"/>
    </row>
    <row r="41" spans="1:22">
      <c r="A41" s="14"/>
      <c r="B41" s="14"/>
      <c r="C41" s="14"/>
      <c r="D41" s="14"/>
      <c r="E41" s="14"/>
      <c r="F41" s="14"/>
      <c r="G41" s="14"/>
      <c r="H41" s="14"/>
      <c r="I41" s="14"/>
      <c r="J41" s="113" t="s">
        <v>729</v>
      </c>
      <c r="K41" s="113" t="s">
        <v>730</v>
      </c>
      <c r="L41" s="14"/>
      <c r="M41" s="14"/>
      <c r="N41" s="14"/>
      <c r="O41" s="14"/>
      <c r="P41" s="14"/>
      <c r="Q41" s="14"/>
      <c r="R41" s="14"/>
      <c r="S41" s="14"/>
      <c r="T41" s="14"/>
      <c r="U41" s="14"/>
      <c r="V41" s="14"/>
    </row>
    <row r="42" spans="1:22">
      <c r="A42" s="14"/>
      <c r="B42" s="14"/>
      <c r="C42" s="14"/>
      <c r="D42" s="14"/>
      <c r="E42" s="14"/>
      <c r="F42" s="14"/>
      <c r="G42" s="14"/>
      <c r="H42" s="14"/>
      <c r="I42" s="14"/>
      <c r="J42" s="113" t="s">
        <v>731</v>
      </c>
      <c r="K42" s="113" t="s">
        <v>732</v>
      </c>
      <c r="L42" s="14"/>
      <c r="M42" s="14"/>
      <c r="N42" s="14"/>
      <c r="O42" s="14"/>
      <c r="P42" s="14"/>
      <c r="Q42" s="14"/>
      <c r="R42" s="14"/>
      <c r="S42" s="14"/>
      <c r="T42" s="14"/>
      <c r="U42" s="14"/>
      <c r="V42" s="14"/>
    </row>
    <row r="43" spans="1:22">
      <c r="A43" s="15"/>
      <c r="B43" s="15"/>
      <c r="C43" s="15"/>
      <c r="D43" s="15"/>
      <c r="E43" s="15"/>
      <c r="F43" s="15"/>
      <c r="G43" s="15"/>
      <c r="H43" s="15"/>
      <c r="I43" s="15"/>
      <c r="J43" s="113" t="s">
        <v>733</v>
      </c>
      <c r="K43" s="113">
        <v>-10</v>
      </c>
      <c r="L43" s="15"/>
      <c r="M43" s="15"/>
      <c r="N43" s="15"/>
      <c r="O43" s="15"/>
      <c r="P43" s="15"/>
      <c r="Q43" s="15"/>
      <c r="R43" s="15"/>
      <c r="S43" s="15"/>
      <c r="T43" s="15"/>
      <c r="U43" s="15"/>
      <c r="V43" s="15"/>
    </row>
    <row r="44" spans="1:22">
      <c r="A44" s="114" t="s">
        <v>200</v>
      </c>
      <c r="B44" s="114" t="s">
        <v>336</v>
      </c>
      <c r="C44" s="115" t="s">
        <v>734</v>
      </c>
      <c r="D44" s="115" t="s">
        <v>359</v>
      </c>
      <c r="E44" s="114" t="s">
        <v>556</v>
      </c>
      <c r="F44" s="114" t="s">
        <v>684</v>
      </c>
      <c r="G44" s="114" t="s">
        <v>735</v>
      </c>
      <c r="H44" s="114"/>
      <c r="I44" s="115" t="s">
        <v>735</v>
      </c>
      <c r="J44" s="114" t="s">
        <v>736</v>
      </c>
      <c r="K44" s="114" t="s">
        <v>737</v>
      </c>
      <c r="L44" s="115">
        <v>0</v>
      </c>
      <c r="M44" s="115"/>
      <c r="N44" s="115"/>
      <c r="O44" s="115"/>
      <c r="P44" s="115"/>
      <c r="Q44" s="115"/>
      <c r="R44" s="115"/>
      <c r="S44" s="115"/>
      <c r="T44" s="115" t="s">
        <v>738</v>
      </c>
      <c r="U44" s="115"/>
      <c r="V44" s="115"/>
    </row>
    <row r="45" spans="1:22">
      <c r="A45" s="14"/>
      <c r="B45" s="14"/>
      <c r="C45" s="14"/>
      <c r="D45" s="14"/>
      <c r="E45" s="14"/>
      <c r="F45" s="14"/>
      <c r="G45" s="14"/>
      <c r="H45" s="14"/>
      <c r="I45" s="14"/>
      <c r="J45" s="114" t="s">
        <v>739</v>
      </c>
      <c r="K45" s="114" t="s">
        <v>740</v>
      </c>
      <c r="L45" s="14"/>
      <c r="M45" s="14"/>
      <c r="N45" s="14"/>
      <c r="O45" s="14"/>
      <c r="P45" s="14"/>
      <c r="Q45" s="14"/>
      <c r="R45" s="14"/>
      <c r="S45" s="14"/>
      <c r="T45" s="14"/>
      <c r="U45" s="14"/>
      <c r="V45" s="14"/>
    </row>
    <row r="46" spans="1:22">
      <c r="A46" s="14"/>
      <c r="B46" s="14"/>
      <c r="C46" s="14"/>
      <c r="D46" s="14"/>
      <c r="E46" s="14"/>
      <c r="F46" s="14"/>
      <c r="G46" s="14"/>
      <c r="H46" s="14"/>
      <c r="I46" s="14"/>
      <c r="J46" s="114" t="s">
        <v>741</v>
      </c>
      <c r="K46" s="114" t="s">
        <v>742</v>
      </c>
      <c r="L46" s="14"/>
      <c r="M46" s="14"/>
      <c r="N46" s="14"/>
      <c r="O46" s="14"/>
      <c r="P46" s="14"/>
      <c r="Q46" s="14"/>
      <c r="R46" s="14"/>
      <c r="S46" s="14"/>
      <c r="T46" s="14"/>
      <c r="U46" s="14"/>
      <c r="V46" s="14"/>
    </row>
    <row r="47" spans="1:22">
      <c r="A47" s="14"/>
      <c r="B47" s="14"/>
      <c r="C47" s="14"/>
      <c r="D47" s="14"/>
      <c r="E47" s="14"/>
      <c r="F47" s="14"/>
      <c r="G47" s="14"/>
      <c r="H47" s="14"/>
      <c r="I47" s="14"/>
      <c r="J47" s="114" t="s">
        <v>743</v>
      </c>
      <c r="K47" s="114" t="s">
        <v>744</v>
      </c>
      <c r="L47" s="14"/>
      <c r="M47" s="14"/>
      <c r="N47" s="14"/>
      <c r="O47" s="14"/>
      <c r="P47" s="14"/>
      <c r="Q47" s="14"/>
      <c r="R47" s="14"/>
      <c r="S47" s="14"/>
      <c r="T47" s="14"/>
      <c r="U47" s="14"/>
      <c r="V47" s="14"/>
    </row>
    <row r="48" spans="1:22">
      <c r="A48" s="14"/>
      <c r="B48" s="14"/>
      <c r="C48" s="15"/>
      <c r="D48" s="15"/>
      <c r="E48" s="15"/>
      <c r="F48" s="15"/>
      <c r="G48" s="15"/>
      <c r="H48" s="15"/>
      <c r="I48" s="15"/>
      <c r="J48" s="114" t="s">
        <v>745</v>
      </c>
      <c r="K48" s="114">
        <v>-10</v>
      </c>
      <c r="L48" s="15"/>
      <c r="M48" s="15"/>
      <c r="N48" s="15"/>
      <c r="O48" s="15"/>
      <c r="P48" s="15"/>
      <c r="Q48" s="15"/>
      <c r="R48" s="15"/>
      <c r="S48" s="15"/>
      <c r="T48" s="15"/>
      <c r="U48" s="15"/>
      <c r="V48" s="15"/>
    </row>
    <row r="49" spans="1:22">
      <c r="A49" s="14"/>
      <c r="B49" s="14"/>
      <c r="C49" s="115" t="s">
        <v>746</v>
      </c>
      <c r="D49" s="115" t="s">
        <v>364</v>
      </c>
      <c r="E49" s="114" t="s">
        <v>556</v>
      </c>
      <c r="F49" s="114" t="s">
        <v>684</v>
      </c>
      <c r="G49" s="114" t="s">
        <v>747</v>
      </c>
      <c r="H49" s="114"/>
      <c r="I49" s="115" t="s">
        <v>748</v>
      </c>
      <c r="J49" s="114" t="s">
        <v>749</v>
      </c>
      <c r="K49" s="114" t="s">
        <v>750</v>
      </c>
      <c r="L49" s="114">
        <v>0</v>
      </c>
      <c r="M49" s="114"/>
      <c r="N49" s="114"/>
      <c r="O49" s="114"/>
      <c r="P49" s="114"/>
      <c r="Q49" s="114"/>
      <c r="R49" s="114"/>
      <c r="S49" s="114"/>
      <c r="T49" s="114" t="s">
        <v>751</v>
      </c>
      <c r="U49" s="114"/>
      <c r="V49" s="114"/>
    </row>
    <row r="50" spans="1:22">
      <c r="A50" s="14"/>
      <c r="B50" s="14"/>
      <c r="C50" s="14"/>
      <c r="D50" s="14"/>
      <c r="E50" s="14"/>
      <c r="F50" s="14"/>
      <c r="G50" s="14"/>
      <c r="H50" s="14"/>
      <c r="I50" s="14"/>
      <c r="J50" s="114" t="s">
        <v>752</v>
      </c>
      <c r="K50" s="114" t="s">
        <v>753</v>
      </c>
      <c r="L50" s="14"/>
      <c r="M50" s="14"/>
      <c r="N50" s="14"/>
      <c r="O50" s="14"/>
      <c r="P50" s="14"/>
      <c r="Q50" s="14"/>
      <c r="R50" s="14"/>
      <c r="S50" s="14"/>
      <c r="T50" s="14"/>
      <c r="U50" s="14"/>
      <c r="V50" s="14"/>
    </row>
    <row r="51" spans="1:22">
      <c r="A51" s="14"/>
      <c r="B51" s="14"/>
      <c r="C51" s="14"/>
      <c r="D51" s="14"/>
      <c r="E51" s="14"/>
      <c r="F51" s="14"/>
      <c r="G51" s="14"/>
      <c r="H51" s="14"/>
      <c r="I51" s="14"/>
      <c r="J51" s="114" t="s">
        <v>754</v>
      </c>
      <c r="K51" s="114" t="s">
        <v>755</v>
      </c>
      <c r="L51" s="14"/>
      <c r="M51" s="14"/>
      <c r="N51" s="14"/>
      <c r="O51" s="14"/>
      <c r="P51" s="14"/>
      <c r="Q51" s="14"/>
      <c r="R51" s="14"/>
      <c r="S51" s="14"/>
      <c r="T51" s="14"/>
      <c r="U51" s="14"/>
      <c r="V51" s="14"/>
    </row>
    <row r="52" spans="1:22">
      <c r="A52" s="15"/>
      <c r="B52" s="15"/>
      <c r="C52" s="15"/>
      <c r="D52" s="15"/>
      <c r="E52" s="15"/>
      <c r="F52" s="15"/>
      <c r="G52" s="15"/>
      <c r="H52" s="15"/>
      <c r="I52" s="15"/>
      <c r="J52" s="114" t="s">
        <v>756</v>
      </c>
      <c r="K52" s="114">
        <v>-10</v>
      </c>
      <c r="L52" s="15"/>
      <c r="M52" s="15"/>
      <c r="N52" s="15"/>
      <c r="O52" s="15"/>
      <c r="P52" s="15"/>
      <c r="Q52" s="15"/>
      <c r="R52" s="15"/>
      <c r="S52" s="15"/>
      <c r="T52" s="15"/>
      <c r="U52" s="15"/>
      <c r="V52" s="15"/>
    </row>
  </sheetData>
  <mergeCells count="149">
    <mergeCell ref="A2:A43"/>
    <mergeCell ref="A44:A52"/>
    <mergeCell ref="B2:B43"/>
    <mergeCell ref="B44:B52"/>
    <mergeCell ref="C2:C17"/>
    <mergeCell ref="C18:C34"/>
    <mergeCell ref="C35:C43"/>
    <mergeCell ref="C44:C48"/>
    <mergeCell ref="C49:C52"/>
    <mergeCell ref="D2:D17"/>
    <mergeCell ref="D18:D34"/>
    <mergeCell ref="D35:D43"/>
    <mergeCell ref="D44:D48"/>
    <mergeCell ref="D49:D52"/>
    <mergeCell ref="E2:E17"/>
    <mergeCell ref="E18:E34"/>
    <mergeCell ref="E35:E43"/>
    <mergeCell ref="E44:E48"/>
    <mergeCell ref="E49:E52"/>
    <mergeCell ref="F2:F9"/>
    <mergeCell ref="F10:F13"/>
    <mergeCell ref="F14:F17"/>
    <mergeCell ref="F18:F25"/>
    <mergeCell ref="F26:F29"/>
    <mergeCell ref="F30:F34"/>
    <mergeCell ref="F35:F38"/>
    <mergeCell ref="F39:F43"/>
    <mergeCell ref="F44:F48"/>
    <mergeCell ref="F49:F52"/>
    <mergeCell ref="G2:G9"/>
    <mergeCell ref="G10:G13"/>
    <mergeCell ref="G14:G17"/>
    <mergeCell ref="G18:G25"/>
    <mergeCell ref="G26:G29"/>
    <mergeCell ref="G30:G34"/>
    <mergeCell ref="G35:G38"/>
    <mergeCell ref="G39:G43"/>
    <mergeCell ref="G44:G48"/>
    <mergeCell ref="G49:G52"/>
    <mergeCell ref="H2:H9"/>
    <mergeCell ref="H10:H13"/>
    <mergeCell ref="H14:H17"/>
    <mergeCell ref="H18:H25"/>
    <mergeCell ref="H26:H29"/>
    <mergeCell ref="H30:H34"/>
    <mergeCell ref="H35:H38"/>
    <mergeCell ref="H39:H43"/>
    <mergeCell ref="H44:H48"/>
    <mergeCell ref="H49:H52"/>
    <mergeCell ref="I2:I17"/>
    <mergeCell ref="I18:I34"/>
    <mergeCell ref="I35:I43"/>
    <mergeCell ref="I44:I48"/>
    <mergeCell ref="I49:I52"/>
    <mergeCell ref="L2:L9"/>
    <mergeCell ref="L10:L13"/>
    <mergeCell ref="L14:L17"/>
    <mergeCell ref="L18:L25"/>
    <mergeCell ref="L26:L29"/>
    <mergeCell ref="L30:L34"/>
    <mergeCell ref="L35:L38"/>
    <mergeCell ref="L39:L43"/>
    <mergeCell ref="L44:L48"/>
    <mergeCell ref="L49:L52"/>
    <mergeCell ref="M2:M9"/>
    <mergeCell ref="M10:M13"/>
    <mergeCell ref="M14:M17"/>
    <mergeCell ref="M18:M25"/>
    <mergeCell ref="M26:M29"/>
    <mergeCell ref="M30:M34"/>
    <mergeCell ref="M35:M38"/>
    <mergeCell ref="M39:M43"/>
    <mergeCell ref="M44:M48"/>
    <mergeCell ref="M49:M52"/>
    <mergeCell ref="N2:N9"/>
    <mergeCell ref="N10:N13"/>
    <mergeCell ref="N14:N17"/>
    <mergeCell ref="N18:N25"/>
    <mergeCell ref="N26:N29"/>
    <mergeCell ref="N30:N34"/>
    <mergeCell ref="N35:N38"/>
    <mergeCell ref="N39:N43"/>
    <mergeCell ref="N44:N48"/>
    <mergeCell ref="N49:N52"/>
    <mergeCell ref="O2:O9"/>
    <mergeCell ref="O10:O13"/>
    <mergeCell ref="O14:O17"/>
    <mergeCell ref="O18:O25"/>
    <mergeCell ref="O26:O29"/>
    <mergeCell ref="O30:O34"/>
    <mergeCell ref="O35:O38"/>
    <mergeCell ref="O39:O43"/>
    <mergeCell ref="O44:O48"/>
    <mergeCell ref="O49:O52"/>
    <mergeCell ref="P2:P9"/>
    <mergeCell ref="P10:P13"/>
    <mergeCell ref="P14:P17"/>
    <mergeCell ref="P18:P25"/>
    <mergeCell ref="P26:P29"/>
    <mergeCell ref="P30:P34"/>
    <mergeCell ref="P35:P38"/>
    <mergeCell ref="P39:P43"/>
    <mergeCell ref="P44:P48"/>
    <mergeCell ref="P49:P52"/>
    <mergeCell ref="Q2:Q9"/>
    <mergeCell ref="Q10:Q13"/>
    <mergeCell ref="Q14:Q17"/>
    <mergeCell ref="Q18:Q25"/>
    <mergeCell ref="Q26:Q29"/>
    <mergeCell ref="Q30:Q34"/>
    <mergeCell ref="Q35:Q38"/>
    <mergeCell ref="Q39:Q43"/>
    <mergeCell ref="Q44:Q48"/>
    <mergeCell ref="Q49:Q52"/>
    <mergeCell ref="R2:R9"/>
    <mergeCell ref="R10:R13"/>
    <mergeCell ref="R14:R17"/>
    <mergeCell ref="R18:R25"/>
    <mergeCell ref="R26:R29"/>
    <mergeCell ref="R30:R34"/>
    <mergeCell ref="R35:R38"/>
    <mergeCell ref="R39:R43"/>
    <mergeCell ref="R44:R48"/>
    <mergeCell ref="R49:R52"/>
    <mergeCell ref="S2:S9"/>
    <mergeCell ref="S10:S13"/>
    <mergeCell ref="S14:S17"/>
    <mergeCell ref="S18:S25"/>
    <mergeCell ref="S26:S29"/>
    <mergeCell ref="S30:S34"/>
    <mergeCell ref="S35:S38"/>
    <mergeCell ref="S39:S43"/>
    <mergeCell ref="S44:S48"/>
    <mergeCell ref="S49:S52"/>
    <mergeCell ref="T2:T17"/>
    <mergeCell ref="T18:T34"/>
    <mergeCell ref="T35:T43"/>
    <mergeCell ref="T44:T48"/>
    <mergeCell ref="T49:T52"/>
    <mergeCell ref="U2:U17"/>
    <mergeCell ref="U18:U34"/>
    <mergeCell ref="U35:U43"/>
    <mergeCell ref="U44:U48"/>
    <mergeCell ref="U49:U52"/>
    <mergeCell ref="V2:V17"/>
    <mergeCell ref="V18:V34"/>
    <mergeCell ref="V35:V43"/>
    <mergeCell ref="V44:V48"/>
    <mergeCell ref="V49:V52"/>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139"/>
  <sheetViews>
    <sheetView zoomScale="89" zoomScaleNormal="89" topLeftCell="C55" workbookViewId="0">
      <selection activeCell="H56" sqref="H56:H58"/>
    </sheetView>
  </sheetViews>
  <sheetFormatPr defaultColWidth="9.16346153846154" defaultRowHeight="16.8"/>
  <cols>
    <col min="1" max="1" width="14.3365384615385" style="62" customWidth="1"/>
    <col min="2" max="2" width="12.1634615384615" style="62" customWidth="1"/>
    <col min="3" max="3" width="15.5" style="62" customWidth="1"/>
    <col min="4" max="4" width="40" style="61" customWidth="1"/>
    <col min="5" max="5" width="8.5" style="62" customWidth="1"/>
    <col min="6" max="6" width="11.8365384615385" style="62" customWidth="1"/>
    <col min="7" max="7" width="9.16346153846154" style="61" customWidth="1"/>
    <col min="8" max="8" width="63.3365384615385" style="63" customWidth="1"/>
    <col min="9" max="9" width="23.9423076923077" style="63" customWidth="1"/>
    <col min="10" max="10" width="16.8365384615385" style="63" customWidth="1"/>
    <col min="11" max="11" width="25.3365384615385" style="61" customWidth="1"/>
    <col min="12" max="13" width="9.16346153846154" style="61" customWidth="1"/>
    <col min="14" max="15" width="21.6634615384615" style="61" customWidth="1"/>
    <col min="16" max="17" width="9.16346153846154" style="61" customWidth="1"/>
    <col min="18" max="18" width="18.3365384615385" style="61" customWidth="1"/>
    <col min="19" max="20" width="9.16346153846154" style="61" customWidth="1"/>
    <col min="21" max="21" width="20" style="61" customWidth="1"/>
    <col min="22" max="23" width="9.16346153846154" style="61" customWidth="1"/>
    <col min="24" max="24" width="20" style="61" customWidth="1"/>
    <col min="25" max="26" width="9.16346153846154" style="61" customWidth="1"/>
    <col min="27" max="27" width="26.1634615384615" style="61" customWidth="1"/>
    <col min="28" max="29" width="9.16346153846154" style="61" customWidth="1"/>
    <col min="30" max="30" width="20.3365384615385" style="61" customWidth="1"/>
    <col min="31" max="32" width="9.16346153846154" style="61" customWidth="1"/>
    <col min="33" max="33" width="18.1634615384615" style="61" customWidth="1"/>
    <col min="34" max="35" width="9.16346153846154" style="61" customWidth="1"/>
    <col min="36" max="36" width="22.6634615384615" style="61" customWidth="1"/>
    <col min="37" max="38" width="9.16346153846154" style="61" customWidth="1"/>
    <col min="39" max="39" width="18.5" style="61" customWidth="1"/>
    <col min="40" max="41" width="9.16346153846154" style="61" customWidth="1"/>
    <col min="42" max="42" width="21" style="61" customWidth="1"/>
    <col min="43" max="44" width="9.16346153846154" style="61" customWidth="1"/>
    <col min="45" max="45" width="20.3365384615385" style="61" customWidth="1"/>
    <col min="46" max="46" width="9.16346153846154" style="61" customWidth="1"/>
    <col min="47" max="50" width="10.6730769230769" style="61" customWidth="1"/>
    <col min="51" max="51" width="20.3076923076923" style="61" customWidth="1"/>
    <col min="52" max="53" width="10.6730769230769" style="61" customWidth="1"/>
    <col min="54" max="54" width="19.9903846153846" style="61" customWidth="1"/>
    <col min="55" max="56" width="10.6730769230769" style="61" customWidth="1"/>
    <col min="57" max="57" width="20.3461538461538" style="61" customWidth="1"/>
    <col min="58" max="59" width="10.6730769230769" style="61" customWidth="1"/>
    <col min="60" max="60" width="20.0288461538462" style="61" customWidth="1"/>
    <col min="61" max="62" width="10.6730769230769" style="61" customWidth="1"/>
    <col min="63" max="63" width="19.9519230769231" style="61" customWidth="1"/>
    <col min="64" max="65" width="10.6730769230769" style="61" customWidth="1"/>
    <col min="66" max="66" width="20.1442307692308" style="61" customWidth="1"/>
    <col min="67" max="68" width="10.6730769230769" style="61" customWidth="1"/>
    <col min="69" max="69" width="20.2980769230769" style="61" customWidth="1"/>
    <col min="70" max="71" width="10.6730769230769" style="61" customWidth="1"/>
    <col min="72" max="16384" width="9.16346153846154" style="61" customWidth="1"/>
  </cols>
  <sheetData>
    <row r="1" s="60" customFormat="1" ht="17.6" customHeight="1" spans="1:90">
      <c r="A1" s="64" t="s">
        <v>757</v>
      </c>
      <c r="B1" s="20"/>
      <c r="C1" s="20"/>
      <c r="D1" s="20"/>
      <c r="E1" s="20"/>
      <c r="F1" s="20"/>
      <c r="G1" s="20"/>
      <c r="H1" s="20"/>
      <c r="I1" s="20"/>
      <c r="J1" s="22"/>
      <c r="K1" s="83" t="s">
        <v>758</v>
      </c>
      <c r="L1" s="20"/>
      <c r="M1" s="22"/>
      <c r="N1" s="88"/>
      <c r="O1" s="83" t="s">
        <v>759</v>
      </c>
      <c r="P1" s="20"/>
      <c r="Q1" s="22"/>
      <c r="R1" s="88"/>
      <c r="S1" s="83" t="s">
        <v>760</v>
      </c>
      <c r="T1" s="20"/>
      <c r="U1" s="22"/>
      <c r="V1" s="88"/>
      <c r="W1" s="83" t="s">
        <v>761</v>
      </c>
      <c r="X1" s="20"/>
      <c r="Y1" s="22"/>
      <c r="Z1" s="88"/>
      <c r="AA1" s="83" t="s">
        <v>762</v>
      </c>
      <c r="AB1" s="20"/>
      <c r="AC1" s="22"/>
      <c r="AD1" s="88"/>
      <c r="AE1" s="83" t="s">
        <v>763</v>
      </c>
      <c r="AF1" s="20"/>
      <c r="AG1" s="22"/>
      <c r="AH1" s="88"/>
      <c r="AI1" s="83" t="s">
        <v>764</v>
      </c>
      <c r="AJ1" s="20"/>
      <c r="AK1" s="22"/>
      <c r="AL1" s="88"/>
      <c r="AM1" s="83" t="s">
        <v>765</v>
      </c>
      <c r="AN1" s="20"/>
      <c r="AO1" s="22"/>
      <c r="AP1" s="88"/>
      <c r="AQ1" s="83" t="s">
        <v>766</v>
      </c>
      <c r="AR1" s="20"/>
      <c r="AS1" s="22"/>
      <c r="AT1" s="88"/>
      <c r="AU1" s="83" t="s">
        <v>767</v>
      </c>
      <c r="AV1" s="20"/>
      <c r="AW1" s="22"/>
      <c r="AX1" s="88"/>
      <c r="AY1" s="83" t="s">
        <v>768</v>
      </c>
      <c r="AZ1" s="20"/>
      <c r="BA1" s="22"/>
      <c r="BB1" s="88"/>
      <c r="BC1" s="83" t="s">
        <v>769</v>
      </c>
      <c r="BD1" s="20"/>
      <c r="BE1" s="22"/>
      <c r="BF1" s="88"/>
      <c r="BG1" s="83" t="s">
        <v>770</v>
      </c>
      <c r="BH1" s="20"/>
      <c r="BI1" s="22"/>
      <c r="BJ1" s="88"/>
      <c r="BK1" s="83" t="s">
        <v>771</v>
      </c>
      <c r="BL1" s="20"/>
      <c r="BM1" s="22"/>
      <c r="BN1" s="88"/>
      <c r="BO1" s="83" t="s">
        <v>772</v>
      </c>
      <c r="BP1" s="20"/>
      <c r="BQ1" s="22"/>
      <c r="BR1" s="88"/>
      <c r="BS1" s="83" t="s">
        <v>773</v>
      </c>
      <c r="BT1" s="20"/>
      <c r="BU1" s="22"/>
      <c r="BV1" s="88"/>
      <c r="BW1" s="83" t="s">
        <v>774</v>
      </c>
      <c r="BX1" s="20"/>
      <c r="BY1" s="22"/>
      <c r="BZ1" s="88"/>
      <c r="CA1" s="83" t="s">
        <v>775</v>
      </c>
      <c r="CB1" s="20"/>
      <c r="CC1" s="22"/>
      <c r="CD1" s="88"/>
      <c r="CE1" s="83" t="s">
        <v>776</v>
      </c>
      <c r="CF1" s="20"/>
      <c r="CG1" s="22"/>
      <c r="CH1" s="88"/>
      <c r="CI1" s="83" t="s">
        <v>777</v>
      </c>
      <c r="CJ1" s="20"/>
      <c r="CK1" s="22"/>
      <c r="CL1" s="88"/>
    </row>
    <row r="2" s="60" customFormat="1" ht="36" customHeight="1" spans="1:90">
      <c r="A2" s="65" t="s">
        <v>0</v>
      </c>
      <c r="B2" s="65" t="s">
        <v>1</v>
      </c>
      <c r="C2" s="65" t="s">
        <v>2</v>
      </c>
      <c r="D2" s="65" t="s">
        <v>3</v>
      </c>
      <c r="E2" s="65" t="s">
        <v>536</v>
      </c>
      <c r="F2" s="65" t="s">
        <v>537</v>
      </c>
      <c r="G2" s="65" t="s">
        <v>538</v>
      </c>
      <c r="H2" s="65" t="s">
        <v>539</v>
      </c>
      <c r="I2" s="84" t="s">
        <v>540</v>
      </c>
      <c r="J2" s="84" t="s">
        <v>541</v>
      </c>
      <c r="K2" s="85" t="s">
        <v>778</v>
      </c>
      <c r="L2" s="85" t="s">
        <v>779</v>
      </c>
      <c r="M2" s="85" t="s">
        <v>780</v>
      </c>
      <c r="N2" s="85" t="s">
        <v>781</v>
      </c>
      <c r="O2" s="85" t="s">
        <v>778</v>
      </c>
      <c r="P2" s="85" t="s">
        <v>779</v>
      </c>
      <c r="Q2" s="85" t="s">
        <v>780</v>
      </c>
      <c r="R2" s="85" t="s">
        <v>781</v>
      </c>
      <c r="S2" s="85" t="s">
        <v>778</v>
      </c>
      <c r="T2" s="85" t="s">
        <v>779</v>
      </c>
      <c r="U2" s="85" t="s">
        <v>780</v>
      </c>
      <c r="V2" s="85" t="s">
        <v>781</v>
      </c>
      <c r="W2" s="85" t="s">
        <v>778</v>
      </c>
      <c r="X2" s="85" t="s">
        <v>779</v>
      </c>
      <c r="Y2" s="85" t="s">
        <v>780</v>
      </c>
      <c r="Z2" s="85" t="s">
        <v>781</v>
      </c>
      <c r="AA2" s="85" t="s">
        <v>778</v>
      </c>
      <c r="AB2" s="85" t="s">
        <v>779</v>
      </c>
      <c r="AC2" s="85" t="s">
        <v>780</v>
      </c>
      <c r="AD2" s="85" t="s">
        <v>781</v>
      </c>
      <c r="AE2" s="85" t="s">
        <v>778</v>
      </c>
      <c r="AF2" s="85" t="s">
        <v>779</v>
      </c>
      <c r="AG2" s="85" t="s">
        <v>780</v>
      </c>
      <c r="AH2" s="85" t="s">
        <v>781</v>
      </c>
      <c r="AI2" s="85" t="s">
        <v>778</v>
      </c>
      <c r="AJ2" s="85" t="s">
        <v>779</v>
      </c>
      <c r="AK2" s="85" t="s">
        <v>780</v>
      </c>
      <c r="AL2" s="85" t="s">
        <v>781</v>
      </c>
      <c r="AM2" s="85" t="s">
        <v>778</v>
      </c>
      <c r="AN2" s="85" t="s">
        <v>779</v>
      </c>
      <c r="AO2" s="85" t="s">
        <v>780</v>
      </c>
      <c r="AP2" s="85" t="s">
        <v>781</v>
      </c>
      <c r="AQ2" s="85" t="s">
        <v>778</v>
      </c>
      <c r="AR2" s="85" t="s">
        <v>779</v>
      </c>
      <c r="AS2" s="85" t="s">
        <v>780</v>
      </c>
      <c r="AT2" s="85" t="s">
        <v>781</v>
      </c>
      <c r="AU2" s="85" t="s">
        <v>778</v>
      </c>
      <c r="AV2" s="85" t="s">
        <v>779</v>
      </c>
      <c r="AW2" s="85" t="s">
        <v>780</v>
      </c>
      <c r="AX2" s="85" t="s">
        <v>781</v>
      </c>
      <c r="AY2" s="85" t="s">
        <v>778</v>
      </c>
      <c r="AZ2" s="85" t="s">
        <v>779</v>
      </c>
      <c r="BA2" s="85" t="s">
        <v>780</v>
      </c>
      <c r="BB2" s="85" t="s">
        <v>781</v>
      </c>
      <c r="BC2" s="85" t="s">
        <v>778</v>
      </c>
      <c r="BD2" s="85" t="s">
        <v>779</v>
      </c>
      <c r="BE2" s="94" t="s">
        <v>780</v>
      </c>
      <c r="BF2" s="94" t="s">
        <v>781</v>
      </c>
      <c r="BG2" s="95" t="s">
        <v>778</v>
      </c>
      <c r="BH2" s="95" t="s">
        <v>779</v>
      </c>
      <c r="BI2" s="95" t="s">
        <v>780</v>
      </c>
      <c r="BJ2" s="95" t="s">
        <v>781</v>
      </c>
      <c r="BK2" s="95" t="s">
        <v>778</v>
      </c>
      <c r="BL2" s="95" t="s">
        <v>779</v>
      </c>
      <c r="BM2" s="95" t="s">
        <v>780</v>
      </c>
      <c r="BN2" s="95" t="s">
        <v>781</v>
      </c>
      <c r="BO2" s="95" t="s">
        <v>778</v>
      </c>
      <c r="BP2" s="95" t="s">
        <v>779</v>
      </c>
      <c r="BQ2" s="95" t="s">
        <v>780</v>
      </c>
      <c r="BR2" s="95" t="s">
        <v>781</v>
      </c>
      <c r="BS2" s="95" t="s">
        <v>778</v>
      </c>
      <c r="BT2" s="95" t="s">
        <v>779</v>
      </c>
      <c r="BU2" s="95" t="s">
        <v>780</v>
      </c>
      <c r="BV2" s="95" t="s">
        <v>781</v>
      </c>
      <c r="BW2" s="95" t="s">
        <v>778</v>
      </c>
      <c r="BX2" s="95" t="s">
        <v>779</v>
      </c>
      <c r="BY2" s="95" t="s">
        <v>780</v>
      </c>
      <c r="BZ2" s="95" t="s">
        <v>781</v>
      </c>
      <c r="CA2" s="95" t="s">
        <v>778</v>
      </c>
      <c r="CB2" s="95" t="s">
        <v>779</v>
      </c>
      <c r="CC2" s="95" t="s">
        <v>780</v>
      </c>
      <c r="CD2" s="95" t="s">
        <v>781</v>
      </c>
      <c r="CE2" s="95" t="s">
        <v>778</v>
      </c>
      <c r="CF2" s="95" t="s">
        <v>779</v>
      </c>
      <c r="CG2" s="95" t="s">
        <v>780</v>
      </c>
      <c r="CH2" s="95" t="s">
        <v>781</v>
      </c>
      <c r="CI2" s="95" t="s">
        <v>778</v>
      </c>
      <c r="CJ2" s="95" t="s">
        <v>779</v>
      </c>
      <c r="CK2" s="95" t="s">
        <v>780</v>
      </c>
      <c r="CL2" s="98" t="s">
        <v>781</v>
      </c>
    </row>
    <row r="3" spans="1:90">
      <c r="A3" s="66" t="s">
        <v>554</v>
      </c>
      <c r="B3" s="67" t="s">
        <v>23</v>
      </c>
      <c r="C3" s="67" t="s">
        <v>24</v>
      </c>
      <c r="D3" s="68" t="s">
        <v>555</v>
      </c>
      <c r="E3" s="67" t="s">
        <v>556</v>
      </c>
      <c r="F3" s="67" t="s">
        <v>557</v>
      </c>
      <c r="G3" s="76"/>
      <c r="H3" s="68" t="s">
        <v>558</v>
      </c>
      <c r="I3" s="68">
        <v>0</v>
      </c>
      <c r="J3" s="68">
        <v>0</v>
      </c>
      <c r="K3" s="86" t="s">
        <v>782</v>
      </c>
      <c r="L3" s="87">
        <v>10</v>
      </c>
      <c r="M3" s="87">
        <f>L3*初始权重设定说明!E5</f>
        <v>7</v>
      </c>
      <c r="N3" s="86">
        <f>L3*权重调整机制!K19</f>
        <v>9</v>
      </c>
      <c r="O3" s="86" t="s">
        <v>783</v>
      </c>
      <c r="P3" s="87">
        <v>10</v>
      </c>
      <c r="Q3" s="87">
        <f>P3*初始权重设定说明!E5</f>
        <v>7</v>
      </c>
      <c r="R3" s="87">
        <f>P3*权重调整机制!K19</f>
        <v>9</v>
      </c>
      <c r="S3" s="86" t="s">
        <v>784</v>
      </c>
      <c r="T3" s="87">
        <v>10</v>
      </c>
      <c r="U3" s="87">
        <f>T3*初始权重设定说明!E5</f>
        <v>7</v>
      </c>
      <c r="V3" s="87">
        <f>T3*权重调整机制!K19</f>
        <v>9</v>
      </c>
      <c r="W3" s="86" t="s">
        <v>785</v>
      </c>
      <c r="X3" s="87">
        <v>5</v>
      </c>
      <c r="Y3" s="87">
        <f>X3*初始权重设定说明!E5</f>
        <v>3.5</v>
      </c>
      <c r="Z3" s="87">
        <f>X3*权重调整机制!K19</f>
        <v>4.5</v>
      </c>
      <c r="AA3" s="86" t="s">
        <v>786</v>
      </c>
      <c r="AB3" s="87">
        <v>5</v>
      </c>
      <c r="AC3" s="87">
        <f>AB3*初始权重设定说明!E5</f>
        <v>3.5</v>
      </c>
      <c r="AD3" s="87">
        <f>AB3*权重调整机制!K19</f>
        <v>4.5</v>
      </c>
      <c r="AE3" s="86" t="s">
        <v>787</v>
      </c>
      <c r="AF3" s="87">
        <v>5</v>
      </c>
      <c r="AG3" s="87">
        <f>AF3*初始权重设定说明!E5</f>
        <v>3.5</v>
      </c>
      <c r="AH3" s="87">
        <f>AF3*权重调整机制!K19</f>
        <v>4.5</v>
      </c>
      <c r="AI3" s="86" t="s">
        <v>788</v>
      </c>
      <c r="AJ3" s="87">
        <v>10</v>
      </c>
      <c r="AK3" s="87">
        <f>AJ3*初始权重设定说明!E5</f>
        <v>7</v>
      </c>
      <c r="AL3" s="87">
        <f>AJ3*权重调整机制!K19</f>
        <v>9</v>
      </c>
      <c r="AM3" s="86" t="s">
        <v>789</v>
      </c>
      <c r="AN3" s="87">
        <v>10</v>
      </c>
      <c r="AO3" s="87">
        <f>AN3*初始权重设定说明!E5</f>
        <v>7</v>
      </c>
      <c r="AP3" s="87">
        <f>AN3*权重调整机制!K19</f>
        <v>9</v>
      </c>
      <c r="AQ3" s="86" t="s">
        <v>790</v>
      </c>
      <c r="AR3" s="87">
        <v>10</v>
      </c>
      <c r="AS3" s="87">
        <f>AR3*初始权重设定说明!E5</f>
        <v>7</v>
      </c>
      <c r="AT3" s="87">
        <f>AR3*权重调整机制!K19</f>
        <v>9</v>
      </c>
      <c r="AU3" s="86" t="s">
        <v>791</v>
      </c>
      <c r="AV3" s="87">
        <v>10</v>
      </c>
      <c r="AW3" s="87">
        <f>AV3*初始权重设定说明!E5</f>
        <v>7</v>
      </c>
      <c r="AX3" s="87">
        <f>AV3*权重调整机制!K19</f>
        <v>9</v>
      </c>
      <c r="AY3" s="91" t="s">
        <v>792</v>
      </c>
      <c r="AZ3" s="87">
        <v>0</v>
      </c>
      <c r="BA3" s="87">
        <f>AZ3*初始权重设定说明!E5</f>
        <v>0</v>
      </c>
      <c r="BB3" s="87">
        <f>AZ3*权重调整机制!K19</f>
        <v>0</v>
      </c>
      <c r="BC3" s="86" t="s">
        <v>793</v>
      </c>
      <c r="BD3" s="87">
        <v>10</v>
      </c>
      <c r="BE3" s="87">
        <f>BD3*初始权重设定说明!E5</f>
        <v>7</v>
      </c>
      <c r="BF3" s="87">
        <f>BD3*权重调整机制!K19</f>
        <v>9</v>
      </c>
      <c r="BG3" s="86" t="s">
        <v>794</v>
      </c>
      <c r="BH3" s="87">
        <v>10</v>
      </c>
      <c r="BI3" s="87">
        <f>BH3*初始权重设定说明!E5</f>
        <v>7</v>
      </c>
      <c r="BJ3" s="87">
        <f>BH3*权重调整机制!K19</f>
        <v>9</v>
      </c>
      <c r="BK3" s="86" t="s">
        <v>795</v>
      </c>
      <c r="BL3" s="87">
        <v>5</v>
      </c>
      <c r="BM3" s="87">
        <f>BL3*初始权重设定说明!E5</f>
        <v>3.5</v>
      </c>
      <c r="BN3" s="87">
        <f>BL3*权重调整机制!K19</f>
        <v>4.5</v>
      </c>
      <c r="BO3" s="86" t="s">
        <v>796</v>
      </c>
      <c r="BP3" s="87">
        <v>10</v>
      </c>
      <c r="BQ3" s="87">
        <f>BP3*初始权重设定说明!E5</f>
        <v>7</v>
      </c>
      <c r="BR3" s="87">
        <f>BP3*权重调整机制!K19</f>
        <v>9</v>
      </c>
      <c r="BS3" s="91" t="s">
        <v>797</v>
      </c>
      <c r="BT3" s="87">
        <v>0</v>
      </c>
      <c r="BU3" s="87">
        <f>BT3*初始权重设定说明!E5</f>
        <v>0</v>
      </c>
      <c r="BV3" s="87">
        <f>BT3*权重调整机制!K19</f>
        <v>0</v>
      </c>
      <c r="BW3" s="90" t="s">
        <v>798</v>
      </c>
      <c r="BX3" s="87">
        <v>0</v>
      </c>
      <c r="BY3" s="87">
        <f>BX3*初始权重设定说明!E5</f>
        <v>0</v>
      </c>
      <c r="BZ3" s="87">
        <f>BX3*权重调整机制!K19</f>
        <v>0</v>
      </c>
      <c r="CA3" s="90" t="s">
        <v>799</v>
      </c>
      <c r="CB3" s="87">
        <v>0</v>
      </c>
      <c r="CC3" s="87">
        <f>CB3*初始权重设定说明!E5</f>
        <v>0</v>
      </c>
      <c r="CD3" s="87">
        <f>CB3*权重调整机制!K19</f>
        <v>0</v>
      </c>
      <c r="CE3" s="97" t="s">
        <v>800</v>
      </c>
      <c r="CF3" s="87">
        <v>10</v>
      </c>
      <c r="CG3" s="87">
        <f>CF3*初始权重设定说明!E5</f>
        <v>7</v>
      </c>
      <c r="CH3" s="87">
        <f>CF3*权重调整机制!K19</f>
        <v>9</v>
      </c>
      <c r="CI3" s="97" t="s">
        <v>801</v>
      </c>
      <c r="CJ3" s="87">
        <v>10</v>
      </c>
      <c r="CK3" s="87">
        <f>CJ3*初始权重设定说明!E5</f>
        <v>7</v>
      </c>
      <c r="CL3" s="87">
        <f>CJ3*权重调整机制!K19</f>
        <v>9</v>
      </c>
    </row>
    <row r="4" ht="17" customHeight="1" spans="1:90">
      <c r="A4" s="14"/>
      <c r="B4" s="14"/>
      <c r="C4" s="14"/>
      <c r="D4" s="14"/>
      <c r="E4" s="14"/>
      <c r="F4" s="14"/>
      <c r="G4" s="14"/>
      <c r="H4" s="14"/>
      <c r="I4" s="68" t="s">
        <v>561</v>
      </c>
      <c r="J4" s="68">
        <v>2.5</v>
      </c>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row>
    <row r="5" ht="17" customHeight="1" spans="1:90">
      <c r="A5" s="14"/>
      <c r="B5" s="14"/>
      <c r="C5" s="14"/>
      <c r="D5" s="14"/>
      <c r="E5" s="14"/>
      <c r="F5" s="14"/>
      <c r="G5" s="14"/>
      <c r="H5" s="14"/>
      <c r="I5" s="68" t="s">
        <v>562</v>
      </c>
      <c r="J5" s="68">
        <v>5</v>
      </c>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row>
    <row r="6" ht="17" customHeight="1" spans="1:90">
      <c r="A6" s="14"/>
      <c r="B6" s="14"/>
      <c r="C6" s="14"/>
      <c r="D6" s="14"/>
      <c r="E6" s="14"/>
      <c r="F6" s="14"/>
      <c r="G6" s="14"/>
      <c r="H6" s="14"/>
      <c r="I6" s="68" t="s">
        <v>563</v>
      </c>
      <c r="J6" s="68">
        <v>7.5</v>
      </c>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row>
    <row r="7" ht="17" customHeight="1" spans="1:90">
      <c r="A7" s="14"/>
      <c r="B7" s="14"/>
      <c r="C7" s="15"/>
      <c r="D7" s="15"/>
      <c r="E7" s="15"/>
      <c r="F7" s="15"/>
      <c r="G7" s="15"/>
      <c r="H7" s="15"/>
      <c r="I7" s="68" t="s">
        <v>564</v>
      </c>
      <c r="J7" s="68">
        <v>10</v>
      </c>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row>
    <row r="8" spans="1:90">
      <c r="A8" s="14"/>
      <c r="B8" s="14"/>
      <c r="C8" s="67" t="s">
        <v>40</v>
      </c>
      <c r="D8" s="68" t="s">
        <v>555</v>
      </c>
      <c r="E8" s="67" t="s">
        <v>556</v>
      </c>
      <c r="F8" s="67" t="s">
        <v>565</v>
      </c>
      <c r="G8" s="76"/>
      <c r="H8" s="68" t="s">
        <v>566</v>
      </c>
      <c r="I8" s="68">
        <v>0</v>
      </c>
      <c r="J8" s="68">
        <v>0</v>
      </c>
      <c r="K8" s="86" t="s">
        <v>802</v>
      </c>
      <c r="L8" s="87">
        <v>5</v>
      </c>
      <c r="M8" s="87">
        <f>L8*初始权重设定说明!E6</f>
        <v>3.5</v>
      </c>
      <c r="N8" s="86">
        <f>L8*权重调整机制!K20</f>
        <v>3.5</v>
      </c>
      <c r="O8" s="86" t="s">
        <v>803</v>
      </c>
      <c r="P8" s="87">
        <v>5</v>
      </c>
      <c r="Q8" s="87">
        <f>P8*初始权重设定说明!E6</f>
        <v>3.5</v>
      </c>
      <c r="R8" s="87">
        <f>P8*权重调整机制!K20</f>
        <v>3.5</v>
      </c>
      <c r="S8" s="86" t="s">
        <v>784</v>
      </c>
      <c r="T8" s="87">
        <v>5</v>
      </c>
      <c r="U8" s="87">
        <f>T8*初始权重设定说明!E6</f>
        <v>3.5</v>
      </c>
      <c r="V8" s="87">
        <f>T8*权重调整机制!K20</f>
        <v>3.5</v>
      </c>
      <c r="W8" s="86" t="s">
        <v>785</v>
      </c>
      <c r="X8" s="87">
        <v>5</v>
      </c>
      <c r="Y8" s="87">
        <f>X8*初始权重设定说明!E6</f>
        <v>3.5</v>
      </c>
      <c r="Z8" s="87">
        <f>X8*权重调整机制!K20</f>
        <v>3.5</v>
      </c>
      <c r="AA8" s="86" t="s">
        <v>786</v>
      </c>
      <c r="AB8" s="87">
        <v>5</v>
      </c>
      <c r="AC8" s="87">
        <f>AB8*初始权重设定说明!E6</f>
        <v>3.5</v>
      </c>
      <c r="AD8" s="87">
        <f>AB8*权重调整机制!K20</f>
        <v>3.5</v>
      </c>
      <c r="AE8" s="86" t="s">
        <v>787</v>
      </c>
      <c r="AF8" s="87">
        <v>10</v>
      </c>
      <c r="AG8" s="87">
        <f>AF8*初始权重设定说明!E6</f>
        <v>7</v>
      </c>
      <c r="AH8" s="87">
        <f>AF8*权重调整机制!K20</f>
        <v>7</v>
      </c>
      <c r="AI8" s="86" t="s">
        <v>788</v>
      </c>
      <c r="AJ8" s="87">
        <v>10</v>
      </c>
      <c r="AK8" s="87">
        <f>AJ8*初始权重设定说明!E6</f>
        <v>7</v>
      </c>
      <c r="AL8" s="87">
        <f>AJ8*权重调整机制!K20</f>
        <v>7</v>
      </c>
      <c r="AM8" s="86" t="s">
        <v>789</v>
      </c>
      <c r="AN8" s="87">
        <v>10</v>
      </c>
      <c r="AO8" s="87">
        <f>AN8*初始权重设定说明!E6</f>
        <v>7</v>
      </c>
      <c r="AP8" s="87">
        <f>AN8*权重调整机制!K20</f>
        <v>7</v>
      </c>
      <c r="AQ8" s="86" t="s">
        <v>790</v>
      </c>
      <c r="AR8" s="87">
        <v>6</v>
      </c>
      <c r="AS8" s="87">
        <f>AR8*初始权重设定说明!E6</f>
        <v>4.2</v>
      </c>
      <c r="AT8" s="87">
        <f>AR8*权重调整机制!K20</f>
        <v>4.2</v>
      </c>
      <c r="AU8" s="86" t="s">
        <v>791</v>
      </c>
      <c r="AV8" s="87">
        <v>6</v>
      </c>
      <c r="AW8" s="87">
        <f>AV8*初始权重设定说明!E6</f>
        <v>4.2</v>
      </c>
      <c r="AX8" s="87">
        <f>AV8*权重调整机制!K20</f>
        <v>4.2</v>
      </c>
      <c r="AY8" s="91" t="s">
        <v>792</v>
      </c>
      <c r="AZ8" s="87">
        <v>0</v>
      </c>
      <c r="BA8" s="87">
        <f>AZ8*初始权重设定说明!E6</f>
        <v>0</v>
      </c>
      <c r="BB8" s="87">
        <f>AZ8*权重调整机制!K20</f>
        <v>0</v>
      </c>
      <c r="BC8" s="86" t="s">
        <v>804</v>
      </c>
      <c r="BD8" s="87">
        <v>10</v>
      </c>
      <c r="BE8" s="87">
        <f>BD8*初始权重设定说明!E6</f>
        <v>7</v>
      </c>
      <c r="BF8" s="87">
        <f>BD8*权重调整机制!K20</f>
        <v>7</v>
      </c>
      <c r="BG8" s="86" t="s">
        <v>805</v>
      </c>
      <c r="BH8" s="87">
        <v>6</v>
      </c>
      <c r="BI8" s="87">
        <f>BH8*初始权重设定说明!E6</f>
        <v>4.2</v>
      </c>
      <c r="BJ8" s="87">
        <f>BH8*权重调整机制!K20</f>
        <v>4.2</v>
      </c>
      <c r="BK8" s="86" t="s">
        <v>795</v>
      </c>
      <c r="BL8" s="87">
        <v>10</v>
      </c>
      <c r="BM8" s="87">
        <f>BL8*初始权重设定说明!E6</f>
        <v>7</v>
      </c>
      <c r="BN8" s="87">
        <f>BL8*权重调整机制!K20</f>
        <v>7</v>
      </c>
      <c r="BO8" s="86" t="s">
        <v>796</v>
      </c>
      <c r="BP8" s="87">
        <v>10</v>
      </c>
      <c r="BQ8" s="87">
        <f>BP8*初始权重设定说明!E6</f>
        <v>7</v>
      </c>
      <c r="BR8" s="87">
        <f>BP8*权重调整机制!K20</f>
        <v>7</v>
      </c>
      <c r="BS8" s="86" t="s">
        <v>806</v>
      </c>
      <c r="BT8" s="87">
        <v>10</v>
      </c>
      <c r="BU8" s="87">
        <f>BT8*初始权重设定说明!E6</f>
        <v>7</v>
      </c>
      <c r="BV8" s="87">
        <f>BT8*权重调整机制!K20</f>
        <v>7</v>
      </c>
      <c r="BW8" s="90" t="s">
        <v>807</v>
      </c>
      <c r="BX8" s="87">
        <v>6</v>
      </c>
      <c r="BY8" s="87">
        <f>BX8*初始权重设定说明!E6</f>
        <v>4.2</v>
      </c>
      <c r="BZ8" s="87">
        <f>BX8*权重调整机制!K20</f>
        <v>4.2</v>
      </c>
      <c r="CA8" s="90" t="s">
        <v>799</v>
      </c>
      <c r="CB8" s="87">
        <v>0</v>
      </c>
      <c r="CC8" s="87">
        <f>CB8*初始权重设定说明!E6</f>
        <v>0</v>
      </c>
      <c r="CD8" s="87">
        <f>CB8*权重调整机制!K20</f>
        <v>0</v>
      </c>
      <c r="CE8" s="97" t="s">
        <v>800</v>
      </c>
      <c r="CF8" s="87">
        <v>10</v>
      </c>
      <c r="CG8" s="87">
        <f>CF8*初始权重设定说明!E6</f>
        <v>7</v>
      </c>
      <c r="CH8" s="87">
        <f>CF8*权重调整机制!K20</f>
        <v>7</v>
      </c>
      <c r="CI8" s="97" t="s">
        <v>801</v>
      </c>
      <c r="CJ8" s="87">
        <v>10</v>
      </c>
      <c r="CK8" s="87">
        <f>CJ8*初始权重设定说明!E6</f>
        <v>7</v>
      </c>
      <c r="CL8" s="87">
        <f>CJ8*权重调整机制!K20</f>
        <v>7</v>
      </c>
    </row>
    <row r="9" ht="17" customHeight="1" spans="1:90">
      <c r="A9" s="14"/>
      <c r="B9" s="14"/>
      <c r="C9" s="14"/>
      <c r="D9" s="14"/>
      <c r="E9" s="14"/>
      <c r="F9" s="14"/>
      <c r="G9" s="14"/>
      <c r="H9" s="14"/>
      <c r="I9" s="68" t="s">
        <v>561</v>
      </c>
      <c r="J9" s="68">
        <v>2.5</v>
      </c>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row>
    <row r="10" ht="17" customHeight="1" spans="1:90">
      <c r="A10" s="14"/>
      <c r="B10" s="14"/>
      <c r="C10" s="14"/>
      <c r="D10" s="14"/>
      <c r="E10" s="14"/>
      <c r="F10" s="14"/>
      <c r="G10" s="14"/>
      <c r="H10" s="14"/>
      <c r="I10" s="68" t="s">
        <v>562</v>
      </c>
      <c r="J10" s="68">
        <v>5</v>
      </c>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row>
    <row r="11" ht="17" customHeight="1" spans="1:90">
      <c r="A11" s="14"/>
      <c r="B11" s="14"/>
      <c r="C11" s="14"/>
      <c r="D11" s="14"/>
      <c r="E11" s="14"/>
      <c r="F11" s="14"/>
      <c r="G11" s="14"/>
      <c r="H11" s="14"/>
      <c r="I11" s="68" t="s">
        <v>563</v>
      </c>
      <c r="J11" s="68">
        <v>7.5</v>
      </c>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row>
    <row r="12" ht="17" customHeight="1" spans="1:90">
      <c r="A12" s="14"/>
      <c r="B12" s="14"/>
      <c r="C12" s="15"/>
      <c r="D12" s="15"/>
      <c r="E12" s="15"/>
      <c r="F12" s="15"/>
      <c r="G12" s="15"/>
      <c r="H12" s="15"/>
      <c r="I12" s="68" t="s">
        <v>564</v>
      </c>
      <c r="J12" s="68">
        <v>10</v>
      </c>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row>
    <row r="13" spans="1:90">
      <c r="A13" s="14"/>
      <c r="B13" s="14"/>
      <c r="C13" s="67" t="s">
        <v>52</v>
      </c>
      <c r="D13" s="68" t="s">
        <v>53</v>
      </c>
      <c r="E13" s="67" t="s">
        <v>556</v>
      </c>
      <c r="F13" s="67" t="s">
        <v>568</v>
      </c>
      <c r="G13" s="68"/>
      <c r="H13" s="68" t="s">
        <v>569</v>
      </c>
      <c r="I13" s="68">
        <v>0</v>
      </c>
      <c r="J13" s="68">
        <v>0</v>
      </c>
      <c r="K13" s="86" t="s">
        <v>808</v>
      </c>
      <c r="L13" s="87">
        <v>10</v>
      </c>
      <c r="M13" s="87">
        <f>L13*初始权重设定说明!E7</f>
        <v>2</v>
      </c>
      <c r="N13" s="89">
        <f>L13*权重调整机制!K21</f>
        <v>1</v>
      </c>
      <c r="O13" s="86" t="s">
        <v>809</v>
      </c>
      <c r="P13" s="87">
        <v>6</v>
      </c>
      <c r="Q13" s="87">
        <f>P13*初始权重设定说明!E7</f>
        <v>1.2</v>
      </c>
      <c r="R13" s="87">
        <f>P13*权重调整机制!K21</f>
        <v>0.6</v>
      </c>
      <c r="S13" s="86" t="s">
        <v>810</v>
      </c>
      <c r="T13" s="87">
        <v>10</v>
      </c>
      <c r="U13" s="87">
        <f>T13*初始权重设定说明!E7</f>
        <v>2</v>
      </c>
      <c r="V13" s="87">
        <f>T13*权重调整机制!K21</f>
        <v>1</v>
      </c>
      <c r="W13" s="86" t="s">
        <v>811</v>
      </c>
      <c r="X13" s="87">
        <v>10</v>
      </c>
      <c r="Y13" s="87">
        <f>X13*初始权重设定说明!E7</f>
        <v>2</v>
      </c>
      <c r="Z13" s="87">
        <f>X13*权重调整机制!K21</f>
        <v>1</v>
      </c>
      <c r="AA13" s="86" t="s">
        <v>812</v>
      </c>
      <c r="AB13" s="87">
        <v>10</v>
      </c>
      <c r="AC13" s="87">
        <f>AB13*初始权重设定说明!E7</f>
        <v>2</v>
      </c>
      <c r="AD13" s="87">
        <f>AB13*权重调整机制!K21</f>
        <v>1</v>
      </c>
      <c r="AE13" s="86" t="s">
        <v>813</v>
      </c>
      <c r="AF13" s="87">
        <v>10</v>
      </c>
      <c r="AG13" s="87">
        <f>AF13*初始权重设定说明!E7</f>
        <v>2</v>
      </c>
      <c r="AH13" s="87">
        <f>AF13*权重调整机制!K21</f>
        <v>1</v>
      </c>
      <c r="AI13" s="86" t="s">
        <v>814</v>
      </c>
      <c r="AJ13" s="87">
        <v>8</v>
      </c>
      <c r="AK13" s="87">
        <f>AJ13*初始权重设定说明!E7</f>
        <v>1.6</v>
      </c>
      <c r="AL13" s="87">
        <f>AJ13*权重调整机制!K21</f>
        <v>0.8</v>
      </c>
      <c r="AM13" s="86" t="s">
        <v>815</v>
      </c>
      <c r="AN13" s="87">
        <v>6</v>
      </c>
      <c r="AO13" s="87">
        <f>AN13*初始权重设定说明!E7</f>
        <v>1.2</v>
      </c>
      <c r="AP13" s="87">
        <f>AN13*权重调整机制!K21</f>
        <v>0.6</v>
      </c>
      <c r="AQ13" s="86" t="s">
        <v>816</v>
      </c>
      <c r="AR13" s="87">
        <v>10</v>
      </c>
      <c r="AS13" s="87">
        <f>AR13*初始权重设定说明!E7</f>
        <v>2</v>
      </c>
      <c r="AT13" s="87">
        <f>AR13*权重调整机制!K21</f>
        <v>1</v>
      </c>
      <c r="AU13" s="86" t="s">
        <v>817</v>
      </c>
      <c r="AV13" s="87">
        <v>6</v>
      </c>
      <c r="AW13" s="87">
        <f>AV13*初始权重设定说明!E7</f>
        <v>1.2</v>
      </c>
      <c r="AX13" s="87">
        <f>AV13*权重调整机制!K21</f>
        <v>0.6</v>
      </c>
      <c r="AY13" s="86" t="s">
        <v>818</v>
      </c>
      <c r="AZ13" s="87">
        <v>10</v>
      </c>
      <c r="BA13" s="87">
        <f>AZ13*初始权重设定说明!E7</f>
        <v>2</v>
      </c>
      <c r="BB13" s="87">
        <f>AZ13*权重调整机制!K21</f>
        <v>1</v>
      </c>
      <c r="BC13" s="86" t="s">
        <v>819</v>
      </c>
      <c r="BD13" s="87">
        <v>6</v>
      </c>
      <c r="BE13" s="87">
        <f>BD13*初始权重设定说明!E7</f>
        <v>1.2</v>
      </c>
      <c r="BF13" s="87">
        <f>BD13*权重调整机制!K21</f>
        <v>0.6</v>
      </c>
      <c r="BG13" s="86" t="s">
        <v>820</v>
      </c>
      <c r="BH13" s="87">
        <v>8</v>
      </c>
      <c r="BI13" s="87">
        <f>BH13*初始权重设定说明!E7</f>
        <v>1.6</v>
      </c>
      <c r="BJ13" s="87">
        <f>BH13*权重调整机制!K21</f>
        <v>0.8</v>
      </c>
      <c r="BK13" s="86" t="s">
        <v>821</v>
      </c>
      <c r="BL13" s="87">
        <v>10</v>
      </c>
      <c r="BM13" s="87">
        <f>BL13*初始权重设定说明!E7</f>
        <v>2</v>
      </c>
      <c r="BN13" s="87">
        <f>BL13*权重调整机制!K21</f>
        <v>1</v>
      </c>
      <c r="BO13" s="86" t="s">
        <v>822</v>
      </c>
      <c r="BP13" s="87">
        <v>8</v>
      </c>
      <c r="BQ13" s="87">
        <f>BP13*初始权重设定说明!E7</f>
        <v>1.6</v>
      </c>
      <c r="BR13" s="87">
        <f>BP13*权重调整机制!K21</f>
        <v>0.8</v>
      </c>
      <c r="BS13" s="86" t="s">
        <v>823</v>
      </c>
      <c r="BT13" s="87">
        <v>8</v>
      </c>
      <c r="BU13" s="87">
        <f>BT13*初始权重设定说明!E7</f>
        <v>1.6</v>
      </c>
      <c r="BV13" s="87">
        <f>BT13*权重调整机制!K21</f>
        <v>0.8</v>
      </c>
      <c r="BW13" s="86" t="s">
        <v>824</v>
      </c>
      <c r="BX13" s="87">
        <v>8</v>
      </c>
      <c r="BY13" s="87">
        <f>BX13*初始权重设定说明!E7</f>
        <v>1.6</v>
      </c>
      <c r="BZ13" s="87">
        <f>BX13*权重调整机制!K21</f>
        <v>0.8</v>
      </c>
      <c r="CA13" s="86" t="s">
        <v>825</v>
      </c>
      <c r="CB13" s="87">
        <v>10</v>
      </c>
      <c r="CC13" s="87">
        <f>CB13*初始权重设定说明!E7</f>
        <v>2</v>
      </c>
      <c r="CD13" s="87">
        <f>CB13*权重调整机制!K21</f>
        <v>1</v>
      </c>
      <c r="CE13" s="86" t="s">
        <v>826</v>
      </c>
      <c r="CF13" s="87">
        <v>8</v>
      </c>
      <c r="CG13" s="87">
        <f>CF13*初始权重设定说明!E7</f>
        <v>1.6</v>
      </c>
      <c r="CH13" s="87">
        <f>CF13*权重调整机制!K21</f>
        <v>0.8</v>
      </c>
      <c r="CI13" s="86" t="s">
        <v>827</v>
      </c>
      <c r="CJ13" s="87">
        <v>8</v>
      </c>
      <c r="CK13" s="87">
        <f>CJ13*初始权重设定说明!E7</f>
        <v>1.6</v>
      </c>
      <c r="CL13" s="87">
        <f>CJ13*权重调整机制!K21</f>
        <v>0.8</v>
      </c>
    </row>
    <row r="14" ht="17" customHeight="1" spans="1:90">
      <c r="A14" s="14"/>
      <c r="B14" s="14"/>
      <c r="C14" s="14"/>
      <c r="D14" s="14"/>
      <c r="E14" s="14"/>
      <c r="F14" s="14"/>
      <c r="G14" s="14"/>
      <c r="H14" s="14"/>
      <c r="I14" s="68" t="s">
        <v>571</v>
      </c>
      <c r="J14" s="68">
        <v>2</v>
      </c>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row>
    <row r="15" ht="17" customHeight="1" spans="1:90">
      <c r="A15" s="14"/>
      <c r="B15" s="14"/>
      <c r="C15" s="14"/>
      <c r="D15" s="14"/>
      <c r="E15" s="14"/>
      <c r="F15" s="14"/>
      <c r="G15" s="14"/>
      <c r="H15" s="14"/>
      <c r="I15" s="68" t="s">
        <v>572</v>
      </c>
      <c r="J15" s="68">
        <v>4</v>
      </c>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row>
    <row r="16" ht="17" customHeight="1" spans="1:90">
      <c r="A16" s="14"/>
      <c r="B16" s="14"/>
      <c r="C16" s="14"/>
      <c r="D16" s="14"/>
      <c r="E16" s="14"/>
      <c r="F16" s="14"/>
      <c r="G16" s="14"/>
      <c r="H16" s="14"/>
      <c r="I16" s="68" t="s">
        <v>573</v>
      </c>
      <c r="J16" s="68">
        <v>6</v>
      </c>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row>
    <row r="17" ht="17" customHeight="1" spans="1:90">
      <c r="A17" s="14"/>
      <c r="B17" s="14"/>
      <c r="C17" s="14"/>
      <c r="D17" s="14"/>
      <c r="E17" s="14"/>
      <c r="F17" s="14"/>
      <c r="G17" s="14"/>
      <c r="H17" s="14"/>
      <c r="I17" s="68" t="s">
        <v>574</v>
      </c>
      <c r="J17" s="68">
        <v>8</v>
      </c>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row>
    <row r="18" ht="17" customHeight="1" spans="1:90">
      <c r="A18" s="14"/>
      <c r="B18" s="15"/>
      <c r="C18" s="15"/>
      <c r="D18" s="15"/>
      <c r="E18" s="15"/>
      <c r="F18" s="15"/>
      <c r="G18" s="15"/>
      <c r="H18" s="15"/>
      <c r="I18" s="68" t="s">
        <v>575</v>
      </c>
      <c r="J18" s="68">
        <v>10</v>
      </c>
      <c r="K18" s="15"/>
      <c r="L18" s="15"/>
      <c r="M18" s="15"/>
      <c r="N18" s="14"/>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row>
    <row r="19" spans="1:90">
      <c r="A19" s="14"/>
      <c r="B19" s="67" t="s">
        <v>63</v>
      </c>
      <c r="C19" s="67" t="s">
        <v>64</v>
      </c>
      <c r="D19" s="68" t="s">
        <v>65</v>
      </c>
      <c r="E19" s="67" t="s">
        <v>556</v>
      </c>
      <c r="F19" s="67" t="s">
        <v>576</v>
      </c>
      <c r="G19" s="76"/>
      <c r="H19" s="68" t="s">
        <v>828</v>
      </c>
      <c r="I19" s="68">
        <v>0</v>
      </c>
      <c r="J19" s="68">
        <v>0</v>
      </c>
      <c r="K19" s="86" t="s">
        <v>829</v>
      </c>
      <c r="L19" s="87">
        <v>10</v>
      </c>
      <c r="M19" s="87">
        <f>L19*初始权重设定说明!E8</f>
        <v>7</v>
      </c>
      <c r="N19" s="86">
        <f>L19*权重调整机制!K22</f>
        <v>6</v>
      </c>
      <c r="O19" s="86" t="s">
        <v>830</v>
      </c>
      <c r="P19" s="87">
        <v>6</v>
      </c>
      <c r="Q19" s="87">
        <f>P19*初始权重设定说明!E8</f>
        <v>4.2</v>
      </c>
      <c r="R19" s="87">
        <f>P19*权重调整机制!K22</f>
        <v>3.6</v>
      </c>
      <c r="S19" s="86" t="s">
        <v>831</v>
      </c>
      <c r="T19" s="87">
        <v>8</v>
      </c>
      <c r="U19" s="87">
        <f>T19*初始权重设定说明!E8</f>
        <v>5.6</v>
      </c>
      <c r="V19" s="87">
        <f>T19*权重调整机制!K22</f>
        <v>4.8</v>
      </c>
      <c r="W19" s="86" t="s">
        <v>832</v>
      </c>
      <c r="X19" s="87">
        <v>8</v>
      </c>
      <c r="Y19" s="87">
        <f>X19*初始权重设定说明!E8</f>
        <v>5.6</v>
      </c>
      <c r="Z19" s="87">
        <f>X19*权重调整机制!K22</f>
        <v>4.8</v>
      </c>
      <c r="AA19" s="86" t="s">
        <v>833</v>
      </c>
      <c r="AB19" s="87">
        <v>10</v>
      </c>
      <c r="AC19" s="87">
        <f>AB19*初始权重设定说明!E8</f>
        <v>7</v>
      </c>
      <c r="AD19" s="87">
        <f>AB19*权重调整机制!K22</f>
        <v>6</v>
      </c>
      <c r="AE19" s="86" t="s">
        <v>834</v>
      </c>
      <c r="AF19" s="87">
        <v>10</v>
      </c>
      <c r="AG19" s="87">
        <f>AF19*初始权重设定说明!E8</f>
        <v>7</v>
      </c>
      <c r="AH19" s="87">
        <f>AF19*权重调整机制!K22</f>
        <v>6</v>
      </c>
      <c r="AI19" s="86" t="s">
        <v>835</v>
      </c>
      <c r="AJ19" s="87">
        <v>8</v>
      </c>
      <c r="AK19" s="87">
        <f>AJ19*初始权重设定说明!E8</f>
        <v>5.6</v>
      </c>
      <c r="AL19" s="87">
        <f>AJ19*权重调整机制!K22</f>
        <v>4.8</v>
      </c>
      <c r="AM19" s="86" t="s">
        <v>836</v>
      </c>
      <c r="AN19" s="87">
        <v>6</v>
      </c>
      <c r="AO19" s="87">
        <f>AN19*初始权重设定说明!E8</f>
        <v>4.2</v>
      </c>
      <c r="AP19" s="87">
        <f>AN19*权重调整机制!K22</f>
        <v>3.6</v>
      </c>
      <c r="AQ19" s="86" t="s">
        <v>837</v>
      </c>
      <c r="AR19" s="87">
        <v>8</v>
      </c>
      <c r="AS19" s="87">
        <f>AR19*初始权重设定说明!E8</f>
        <v>5.6</v>
      </c>
      <c r="AT19" s="87">
        <f>AR19*权重调整机制!K22</f>
        <v>4.8</v>
      </c>
      <c r="AU19" s="86" t="s">
        <v>838</v>
      </c>
      <c r="AV19" s="87">
        <v>6</v>
      </c>
      <c r="AW19" s="87">
        <f>AV19*初始权重设定说明!E8</f>
        <v>4.2</v>
      </c>
      <c r="AX19" s="87">
        <f>AV19*权重调整机制!K22</f>
        <v>3.6</v>
      </c>
      <c r="AY19" s="86" t="s">
        <v>839</v>
      </c>
      <c r="AZ19" s="87">
        <v>8</v>
      </c>
      <c r="BA19" s="87">
        <f>AZ19*初始权重设定说明!E8</f>
        <v>5.6</v>
      </c>
      <c r="BB19" s="87">
        <f>AZ19*权重调整机制!K22</f>
        <v>4.8</v>
      </c>
      <c r="BC19" s="86" t="s">
        <v>840</v>
      </c>
      <c r="BD19" s="87">
        <v>6</v>
      </c>
      <c r="BE19" s="87">
        <f>BD19*初始权重设定说明!E8</f>
        <v>4.2</v>
      </c>
      <c r="BF19" s="87">
        <f>BD19*权重调整机制!K22</f>
        <v>3.6</v>
      </c>
      <c r="BG19" s="86" t="s">
        <v>841</v>
      </c>
      <c r="BH19" s="87">
        <v>8</v>
      </c>
      <c r="BI19" s="87">
        <f>BH19*初始权重设定说明!E8</f>
        <v>5.6</v>
      </c>
      <c r="BJ19" s="87">
        <f>BH19*权重调整机制!K22</f>
        <v>4.8</v>
      </c>
      <c r="BK19" s="86" t="s">
        <v>842</v>
      </c>
      <c r="BL19" s="87">
        <v>8</v>
      </c>
      <c r="BM19" s="87">
        <f>BL19*初始权重设定说明!E8</f>
        <v>5.6</v>
      </c>
      <c r="BN19" s="87">
        <f>BL19*权重调整机制!K22</f>
        <v>4.8</v>
      </c>
      <c r="BO19" s="86" t="s">
        <v>843</v>
      </c>
      <c r="BP19" s="87">
        <v>4</v>
      </c>
      <c r="BQ19" s="87">
        <f>BP19*初始权重设定说明!E8</f>
        <v>2.8</v>
      </c>
      <c r="BR19" s="87">
        <f>BP19*权重调整机制!K22</f>
        <v>2.4</v>
      </c>
      <c r="BS19" s="86" t="s">
        <v>844</v>
      </c>
      <c r="BT19" s="87">
        <v>4</v>
      </c>
      <c r="BU19" s="87">
        <f>BT19*初始权重设定说明!E8</f>
        <v>2.8</v>
      </c>
      <c r="BV19" s="87">
        <f>BT19*权重调整机制!K22</f>
        <v>2.4</v>
      </c>
      <c r="BW19" s="86" t="s">
        <v>845</v>
      </c>
      <c r="BX19" s="87">
        <v>8</v>
      </c>
      <c r="BY19" s="87">
        <f>BX19*初始权重设定说明!E8</f>
        <v>5.6</v>
      </c>
      <c r="BZ19" s="87">
        <f>BX19*权重调整机制!K22</f>
        <v>4.8</v>
      </c>
      <c r="CA19" s="86" t="s">
        <v>846</v>
      </c>
      <c r="CB19" s="87">
        <v>6</v>
      </c>
      <c r="CC19" s="87">
        <f>CB19*初始权重设定说明!E8</f>
        <v>4.2</v>
      </c>
      <c r="CD19" s="87">
        <f>CB19*权重调整机制!K22</f>
        <v>3.6</v>
      </c>
      <c r="CE19" s="86" t="s">
        <v>847</v>
      </c>
      <c r="CF19" s="87">
        <v>10</v>
      </c>
      <c r="CG19" s="87">
        <f>CF19*初始权重设定说明!E8</f>
        <v>7</v>
      </c>
      <c r="CH19" s="87">
        <f>CF19*权重调整机制!K22</f>
        <v>6</v>
      </c>
      <c r="CI19" s="86" t="s">
        <v>848</v>
      </c>
      <c r="CJ19" s="87">
        <v>6</v>
      </c>
      <c r="CK19" s="87">
        <f>CJ19*初始权重设定说明!E8</f>
        <v>4.2</v>
      </c>
      <c r="CL19" s="87">
        <f>CJ19*权重调整机制!K22</f>
        <v>3.6</v>
      </c>
    </row>
    <row r="20" ht="17" customHeight="1" spans="1:90">
      <c r="A20" s="14"/>
      <c r="B20" s="14"/>
      <c r="C20" s="14"/>
      <c r="D20" s="14"/>
      <c r="E20" s="14"/>
      <c r="F20" s="14"/>
      <c r="G20" s="14"/>
      <c r="H20" s="14"/>
      <c r="I20" s="68" t="s">
        <v>571</v>
      </c>
      <c r="J20" s="68">
        <v>2</v>
      </c>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row>
    <row r="21" ht="17" customHeight="1" spans="1:90">
      <c r="A21" s="14"/>
      <c r="B21" s="14"/>
      <c r="C21" s="14"/>
      <c r="D21" s="14"/>
      <c r="E21" s="14"/>
      <c r="F21" s="14"/>
      <c r="G21" s="14"/>
      <c r="H21" s="14"/>
      <c r="I21" s="68" t="s">
        <v>572</v>
      </c>
      <c r="J21" s="68">
        <v>4</v>
      </c>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row>
    <row r="22" ht="17" customHeight="1" spans="1:90">
      <c r="A22" s="14"/>
      <c r="B22" s="14"/>
      <c r="C22" s="14"/>
      <c r="D22" s="14"/>
      <c r="E22" s="14"/>
      <c r="F22" s="14"/>
      <c r="G22" s="14"/>
      <c r="H22" s="14"/>
      <c r="I22" s="68" t="s">
        <v>573</v>
      </c>
      <c r="J22" s="68">
        <v>6</v>
      </c>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row>
    <row r="23" ht="17" customHeight="1" spans="1:90">
      <c r="A23" s="14"/>
      <c r="B23" s="14"/>
      <c r="C23" s="14"/>
      <c r="D23" s="14"/>
      <c r="E23" s="14"/>
      <c r="F23" s="14"/>
      <c r="G23" s="14"/>
      <c r="H23" s="14"/>
      <c r="I23" s="68" t="s">
        <v>574</v>
      </c>
      <c r="J23" s="68">
        <v>8</v>
      </c>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row>
    <row r="24" ht="17" customHeight="1" spans="1:90">
      <c r="A24" s="14"/>
      <c r="B24" s="14"/>
      <c r="C24" s="15"/>
      <c r="D24" s="15"/>
      <c r="E24" s="15"/>
      <c r="F24" s="15"/>
      <c r="G24" s="15"/>
      <c r="H24" s="15"/>
      <c r="I24" s="68" t="s">
        <v>578</v>
      </c>
      <c r="J24" s="68">
        <v>10</v>
      </c>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row>
    <row r="25" ht="17" customHeight="1" spans="1:90">
      <c r="A25" s="14"/>
      <c r="B25" s="14"/>
      <c r="C25" s="67" t="s">
        <v>81</v>
      </c>
      <c r="D25" s="68" t="s">
        <v>82</v>
      </c>
      <c r="E25" s="67" t="s">
        <v>556</v>
      </c>
      <c r="F25" s="67" t="s">
        <v>579</v>
      </c>
      <c r="G25" s="77"/>
      <c r="H25" s="68" t="s">
        <v>580</v>
      </c>
      <c r="I25" s="68" t="s">
        <v>581</v>
      </c>
      <c r="J25" s="68">
        <v>0</v>
      </c>
      <c r="K25" s="87"/>
      <c r="L25" s="87"/>
      <c r="M25" s="87">
        <f>L25*初始权重设定说明!E9</f>
        <v>0</v>
      </c>
      <c r="N25" s="87">
        <f>L25*权重调整机制!K23</f>
        <v>0</v>
      </c>
      <c r="O25" s="87"/>
      <c r="P25" s="87"/>
      <c r="Q25" s="87">
        <f>P25*初始权重设定说明!E9</f>
        <v>0</v>
      </c>
      <c r="R25" s="87">
        <f>P25*权重调整机制!K23</f>
        <v>0</v>
      </c>
      <c r="S25" s="87"/>
      <c r="T25" s="87"/>
      <c r="U25" s="87">
        <f>T25*初始权重设定说明!E9</f>
        <v>0</v>
      </c>
      <c r="V25" s="87">
        <f>T25*权重调整机制!K23</f>
        <v>0</v>
      </c>
      <c r="W25" s="87"/>
      <c r="X25" s="87"/>
      <c r="Y25" s="87">
        <f>X25*初始权重设定说明!E9</f>
        <v>0</v>
      </c>
      <c r="Z25" s="87">
        <f>X25*权重调整机制!K23</f>
        <v>0</v>
      </c>
      <c r="AA25" s="87"/>
      <c r="AB25" s="87"/>
      <c r="AC25" s="87">
        <f>AB25*初始权重设定说明!E9</f>
        <v>0</v>
      </c>
      <c r="AD25" s="87">
        <f>AB25*权重调整机制!K23</f>
        <v>0</v>
      </c>
      <c r="AE25" s="86" t="s">
        <v>849</v>
      </c>
      <c r="AF25" s="87">
        <v>10</v>
      </c>
      <c r="AG25" s="87">
        <f>AF25*初始权重设定说明!E9</f>
        <v>2</v>
      </c>
      <c r="AH25" s="87">
        <f>AF25*权重调整机制!K23</f>
        <v>2</v>
      </c>
      <c r="AI25" s="87"/>
      <c r="AJ25" s="87"/>
      <c r="AK25" s="87">
        <f>AJ25*初始权重设定说明!E9</f>
        <v>0</v>
      </c>
      <c r="AL25" s="87">
        <f>AJ25*权重调整机制!K23</f>
        <v>0</v>
      </c>
      <c r="AM25" s="87"/>
      <c r="AN25" s="87"/>
      <c r="AO25" s="87">
        <f>AN25*初始权重设定说明!E9</f>
        <v>0</v>
      </c>
      <c r="AP25" s="87">
        <f>AN25*权重调整机制!K23</f>
        <v>0</v>
      </c>
      <c r="AQ25" s="86" t="s">
        <v>850</v>
      </c>
      <c r="AR25" s="87">
        <v>10</v>
      </c>
      <c r="AS25" s="87">
        <f>AR25*初始权重设定说明!E9</f>
        <v>2</v>
      </c>
      <c r="AT25" s="87">
        <f>AR25*权重调整机制!K23</f>
        <v>2</v>
      </c>
      <c r="AU25" s="87"/>
      <c r="AV25" s="87"/>
      <c r="AW25" s="87">
        <f>AV25*初始权重设定说明!E9</f>
        <v>0</v>
      </c>
      <c r="AX25" s="87">
        <f>AV25*权重调整机制!K23</f>
        <v>0</v>
      </c>
      <c r="AY25" s="86" t="s">
        <v>851</v>
      </c>
      <c r="AZ25" s="87">
        <v>10</v>
      </c>
      <c r="BA25" s="87">
        <f>AZ25*初始权重设定说明!E9</f>
        <v>2</v>
      </c>
      <c r="BB25" s="87">
        <f>AZ25*权重调整机制!K23</f>
        <v>2</v>
      </c>
      <c r="BC25" s="87"/>
      <c r="BD25" s="87"/>
      <c r="BE25" s="87">
        <f>BD25*初始权重设定说明!E9</f>
        <v>0</v>
      </c>
      <c r="BF25" s="87">
        <f>BD25*权重调整机制!K23</f>
        <v>0</v>
      </c>
      <c r="BG25" s="87"/>
      <c r="BH25" s="87"/>
      <c r="BI25" s="87">
        <f>BH25*初始权重设定说明!E9</f>
        <v>0</v>
      </c>
      <c r="BJ25" s="87">
        <f>BH25*权重调整机制!K23</f>
        <v>0</v>
      </c>
      <c r="BK25" s="87"/>
      <c r="BL25" s="87"/>
      <c r="BM25" s="87">
        <f>BL25*初始权重设定说明!E9</f>
        <v>0</v>
      </c>
      <c r="BN25" s="87">
        <f>BL25*权重调整机制!K23</f>
        <v>0</v>
      </c>
      <c r="BO25" s="86" t="s">
        <v>852</v>
      </c>
      <c r="BP25" s="87">
        <v>10</v>
      </c>
      <c r="BQ25" s="87">
        <f>BP25*初始权重设定说明!E9</f>
        <v>2</v>
      </c>
      <c r="BR25" s="87">
        <f>BP25*权重调整机制!K23</f>
        <v>2</v>
      </c>
      <c r="BS25" s="86" t="s">
        <v>853</v>
      </c>
      <c r="BT25" s="87">
        <v>10</v>
      </c>
      <c r="BU25" s="87">
        <f>BT25*初始权重设定说明!E9</f>
        <v>2</v>
      </c>
      <c r="BV25" s="87">
        <f>BT25*权重调整机制!K23</f>
        <v>2</v>
      </c>
      <c r="BW25" s="87"/>
      <c r="BX25" s="87"/>
      <c r="BY25" s="87">
        <f>BX25*初始权重设定说明!E9</f>
        <v>0</v>
      </c>
      <c r="BZ25" s="87">
        <f>BX25*权重调整机制!K23</f>
        <v>0</v>
      </c>
      <c r="CA25" s="87"/>
      <c r="CB25" s="87"/>
      <c r="CC25" s="87">
        <f>CB25*初始权重设定说明!E9</f>
        <v>0</v>
      </c>
      <c r="CD25" s="87">
        <f>CB25*权重调整机制!K23</f>
        <v>0</v>
      </c>
      <c r="CE25" s="87"/>
      <c r="CF25" s="87"/>
      <c r="CG25" s="87">
        <f>CF25*初始权重设定说明!E9</f>
        <v>0</v>
      </c>
      <c r="CH25" s="87">
        <f>CF25*权重调整机制!K23</f>
        <v>0</v>
      </c>
      <c r="CI25" s="87"/>
      <c r="CJ25" s="87"/>
      <c r="CK25" s="87">
        <f>CJ25*初始权重设定说明!E9</f>
        <v>0</v>
      </c>
      <c r="CL25" s="87">
        <f>CJ25*权重调整机制!K23</f>
        <v>0</v>
      </c>
    </row>
    <row r="26" ht="17" customHeight="1" spans="1:90">
      <c r="A26" s="15"/>
      <c r="B26" s="15"/>
      <c r="C26" s="15"/>
      <c r="D26" s="15"/>
      <c r="E26" s="15"/>
      <c r="F26" s="15"/>
      <c r="G26" s="15"/>
      <c r="H26" s="15"/>
      <c r="I26" s="68" t="s">
        <v>582</v>
      </c>
      <c r="J26" s="68">
        <v>10</v>
      </c>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row>
    <row r="27" spans="1:90">
      <c r="A27" s="69" t="s">
        <v>583</v>
      </c>
      <c r="B27" s="70" t="s">
        <v>115</v>
      </c>
      <c r="C27" s="70" t="s">
        <v>116</v>
      </c>
      <c r="D27" s="71" t="s">
        <v>117</v>
      </c>
      <c r="E27" s="70" t="s">
        <v>556</v>
      </c>
      <c r="F27" s="70" t="s">
        <v>584</v>
      </c>
      <c r="G27" s="78"/>
      <c r="H27" s="71" t="s">
        <v>585</v>
      </c>
      <c r="I27" s="71">
        <v>0</v>
      </c>
      <c r="J27" s="71">
        <v>0</v>
      </c>
      <c r="K27" s="86" t="s">
        <v>854</v>
      </c>
      <c r="L27" s="87">
        <v>8</v>
      </c>
      <c r="M27" s="87">
        <f>L27*初始权重设定说明!E10</f>
        <v>5.6</v>
      </c>
      <c r="N27" s="86">
        <f>L27*权重调整机制!K24</f>
        <v>4</v>
      </c>
      <c r="O27" s="86" t="s">
        <v>855</v>
      </c>
      <c r="P27" s="87">
        <v>10</v>
      </c>
      <c r="Q27" s="87">
        <f>P27*初始权重设定说明!E10</f>
        <v>7</v>
      </c>
      <c r="R27" s="87">
        <f>P27*权重调整机制!K24</f>
        <v>5</v>
      </c>
      <c r="S27" s="86" t="s">
        <v>856</v>
      </c>
      <c r="T27" s="87">
        <v>8</v>
      </c>
      <c r="U27" s="87">
        <f>T27*初始权重设定说明!E10</f>
        <v>5.6</v>
      </c>
      <c r="V27" s="87">
        <f>T27*权重调整机制!K24</f>
        <v>4</v>
      </c>
      <c r="W27" s="86" t="s">
        <v>857</v>
      </c>
      <c r="X27" s="87">
        <v>6</v>
      </c>
      <c r="Y27" s="87">
        <f>X27*初始权重设定说明!E10</f>
        <v>4.2</v>
      </c>
      <c r="Z27" s="87">
        <f>X27*权重调整机制!K24</f>
        <v>3</v>
      </c>
      <c r="AA27" s="86" t="s">
        <v>858</v>
      </c>
      <c r="AB27" s="87">
        <v>10</v>
      </c>
      <c r="AC27" s="87">
        <f>AB27*初始权重设定说明!E10</f>
        <v>7</v>
      </c>
      <c r="AD27" s="87">
        <f>AB27*权重调整机制!K24</f>
        <v>5</v>
      </c>
      <c r="AE27" s="86" t="s">
        <v>859</v>
      </c>
      <c r="AF27" s="87">
        <v>6</v>
      </c>
      <c r="AG27" s="87">
        <f>AF27*初始权重设定说明!E10</f>
        <v>4.2</v>
      </c>
      <c r="AH27" s="87">
        <f>AF27*权重调整机制!K24</f>
        <v>3</v>
      </c>
      <c r="AI27" s="86" t="s">
        <v>860</v>
      </c>
      <c r="AJ27" s="87">
        <v>8</v>
      </c>
      <c r="AK27" s="87">
        <f>AJ27*初始权重设定说明!E10</f>
        <v>5.6</v>
      </c>
      <c r="AL27" s="87">
        <f>AJ27*权重调整机制!K24</f>
        <v>4</v>
      </c>
      <c r="AM27" s="86" t="s">
        <v>861</v>
      </c>
      <c r="AN27" s="87">
        <v>10</v>
      </c>
      <c r="AO27" s="87">
        <f>AN27*初始权重设定说明!E10</f>
        <v>7</v>
      </c>
      <c r="AP27" s="87">
        <f>AN27*权重调整机制!K24</f>
        <v>5</v>
      </c>
      <c r="AQ27" s="86" t="s">
        <v>862</v>
      </c>
      <c r="AR27" s="87">
        <v>8</v>
      </c>
      <c r="AS27" s="87">
        <f>AR27*初始权重设定说明!E10</f>
        <v>5.6</v>
      </c>
      <c r="AT27" s="87">
        <f>AR27*权重调整机制!K24</f>
        <v>4</v>
      </c>
      <c r="AU27" s="86" t="s">
        <v>863</v>
      </c>
      <c r="AV27" s="87">
        <v>6</v>
      </c>
      <c r="AW27" s="87">
        <f>AV27*初始权重设定说明!E10</f>
        <v>4.2</v>
      </c>
      <c r="AX27" s="87">
        <f>AV27*权重调整机制!K24</f>
        <v>3</v>
      </c>
      <c r="AY27" s="86" t="s">
        <v>864</v>
      </c>
      <c r="AZ27" s="87">
        <v>10</v>
      </c>
      <c r="BA27" s="87">
        <f>AZ27*初始权重设定说明!E10</f>
        <v>7</v>
      </c>
      <c r="BB27" s="87">
        <f>AZ27*权重调整机制!K24</f>
        <v>5</v>
      </c>
      <c r="BC27" s="86" t="s">
        <v>865</v>
      </c>
      <c r="BD27" s="87">
        <v>8</v>
      </c>
      <c r="BE27" s="87">
        <f>BD27*初始权重设定说明!E10</f>
        <v>5.6</v>
      </c>
      <c r="BF27" s="87">
        <f>BD27*权重调整机制!K24</f>
        <v>4</v>
      </c>
      <c r="BG27" s="86" t="s">
        <v>866</v>
      </c>
      <c r="BH27" s="87">
        <v>8</v>
      </c>
      <c r="BI27" s="87">
        <f>BH27*初始权重设定说明!E10</f>
        <v>5.6</v>
      </c>
      <c r="BJ27" s="87">
        <f>BH27*权重调整机制!K24</f>
        <v>4</v>
      </c>
      <c r="BK27" s="86" t="s">
        <v>867</v>
      </c>
      <c r="BL27" s="87">
        <v>10</v>
      </c>
      <c r="BM27" s="87">
        <f>BL27*初始权重设定说明!E10</f>
        <v>7</v>
      </c>
      <c r="BN27" s="87">
        <f>BL27*权重调整机制!K24</f>
        <v>5</v>
      </c>
      <c r="BO27" s="86" t="s">
        <v>868</v>
      </c>
      <c r="BP27" s="87">
        <v>8</v>
      </c>
      <c r="BQ27" s="87">
        <f>BP27*初始权重设定说明!E10</f>
        <v>5.6</v>
      </c>
      <c r="BR27" s="87">
        <f>BP27*权重调整机制!K24</f>
        <v>4</v>
      </c>
      <c r="BS27" s="86" t="s">
        <v>869</v>
      </c>
      <c r="BT27" s="87">
        <v>10</v>
      </c>
      <c r="BU27" s="87">
        <f>BT27*初始权重设定说明!E10</f>
        <v>7</v>
      </c>
      <c r="BV27" s="87">
        <f>BT27*权重调整机制!K24</f>
        <v>5</v>
      </c>
      <c r="BW27" s="86" t="s">
        <v>870</v>
      </c>
      <c r="BX27" s="87">
        <v>8</v>
      </c>
      <c r="BY27" s="87">
        <f>BX27*初始权重设定说明!E10</f>
        <v>5.6</v>
      </c>
      <c r="BZ27" s="87">
        <f>BX27*权重调整机制!K24</f>
        <v>4</v>
      </c>
      <c r="CA27" s="86" t="s">
        <v>871</v>
      </c>
      <c r="CB27" s="87">
        <v>6</v>
      </c>
      <c r="CC27" s="87">
        <f>CB27*初始权重设定说明!E10</f>
        <v>4.2</v>
      </c>
      <c r="CD27" s="87">
        <f>CB27*权重调整机制!K24</f>
        <v>3</v>
      </c>
      <c r="CE27" s="86" t="s">
        <v>872</v>
      </c>
      <c r="CF27" s="87">
        <v>10</v>
      </c>
      <c r="CG27" s="87">
        <f>CF27*初始权重设定说明!E10</f>
        <v>7</v>
      </c>
      <c r="CH27" s="87">
        <f>CF27*权重调整机制!K24</f>
        <v>5</v>
      </c>
      <c r="CI27" s="86" t="s">
        <v>873</v>
      </c>
      <c r="CJ27" s="87">
        <v>8</v>
      </c>
      <c r="CK27" s="87">
        <f>CJ27*初始权重设定说明!E10</f>
        <v>5.6</v>
      </c>
      <c r="CL27" s="87">
        <f>CJ27*权重调整机制!K24</f>
        <v>4</v>
      </c>
    </row>
    <row r="28" ht="17" customHeight="1" spans="1:90">
      <c r="A28" s="14"/>
      <c r="B28" s="14"/>
      <c r="C28" s="14"/>
      <c r="D28" s="14"/>
      <c r="E28" s="14"/>
      <c r="F28" s="14"/>
      <c r="G28" s="14"/>
      <c r="H28" s="14"/>
      <c r="I28" s="71" t="s">
        <v>571</v>
      </c>
      <c r="J28" s="71">
        <v>2</v>
      </c>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row>
    <row r="29" ht="17" customHeight="1" spans="1:90">
      <c r="A29" s="14"/>
      <c r="B29" s="14"/>
      <c r="C29" s="14"/>
      <c r="D29" s="14"/>
      <c r="E29" s="14"/>
      <c r="F29" s="14"/>
      <c r="G29" s="14"/>
      <c r="H29" s="14"/>
      <c r="I29" s="71" t="s">
        <v>572</v>
      </c>
      <c r="J29" s="71">
        <v>4</v>
      </c>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row>
    <row r="30" ht="17" customHeight="1" spans="1:90">
      <c r="A30" s="14"/>
      <c r="B30" s="14"/>
      <c r="C30" s="14"/>
      <c r="D30" s="14"/>
      <c r="E30" s="14"/>
      <c r="F30" s="14"/>
      <c r="G30" s="14"/>
      <c r="H30" s="14"/>
      <c r="I30" s="71" t="s">
        <v>573</v>
      </c>
      <c r="J30" s="71">
        <v>6</v>
      </c>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row>
    <row r="31" ht="17" customHeight="1" spans="1:90">
      <c r="A31" s="14"/>
      <c r="B31" s="14"/>
      <c r="C31" s="14"/>
      <c r="D31" s="14"/>
      <c r="E31" s="14"/>
      <c r="F31" s="14"/>
      <c r="G31" s="14"/>
      <c r="H31" s="14"/>
      <c r="I31" s="71" t="s">
        <v>574</v>
      </c>
      <c r="J31" s="71">
        <v>8</v>
      </c>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row>
    <row r="32" ht="17" customHeight="1" spans="1:90">
      <c r="A32" s="14"/>
      <c r="B32" s="15"/>
      <c r="C32" s="15"/>
      <c r="D32" s="15"/>
      <c r="E32" s="15"/>
      <c r="F32" s="15"/>
      <c r="G32" s="15"/>
      <c r="H32" s="15"/>
      <c r="I32" s="71" t="s">
        <v>586</v>
      </c>
      <c r="J32" s="71">
        <v>10</v>
      </c>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row>
    <row r="33" spans="1:90">
      <c r="A33" s="14"/>
      <c r="B33" s="70" t="s">
        <v>143</v>
      </c>
      <c r="C33" s="70" t="s">
        <v>144</v>
      </c>
      <c r="D33" s="71" t="s">
        <v>145</v>
      </c>
      <c r="E33" s="70" t="s">
        <v>556</v>
      </c>
      <c r="F33" s="70" t="s">
        <v>587</v>
      </c>
      <c r="G33" s="78"/>
      <c r="H33" s="71" t="s">
        <v>588</v>
      </c>
      <c r="I33" s="71">
        <v>0</v>
      </c>
      <c r="J33" s="71">
        <v>0</v>
      </c>
      <c r="K33" s="86" t="s">
        <v>874</v>
      </c>
      <c r="L33" s="87">
        <v>8</v>
      </c>
      <c r="M33" s="87">
        <f>L33*初始权重设定说明!E11</f>
        <v>5.6</v>
      </c>
      <c r="N33" s="86">
        <f>L33*权重调整机制!K25</f>
        <v>6.4</v>
      </c>
      <c r="O33" s="86" t="s">
        <v>875</v>
      </c>
      <c r="P33" s="87">
        <v>2</v>
      </c>
      <c r="Q33" s="87">
        <f>P33*初始权重设定说明!E11</f>
        <v>1.4</v>
      </c>
      <c r="R33" s="87">
        <f>P33*权重调整机制!K25</f>
        <v>1.6</v>
      </c>
      <c r="S33" s="86" t="s">
        <v>876</v>
      </c>
      <c r="T33" s="87">
        <v>8</v>
      </c>
      <c r="U33" s="87">
        <f>T33*初始权重设定说明!E11</f>
        <v>5.6</v>
      </c>
      <c r="V33" s="87">
        <f>T33*权重调整机制!K25</f>
        <v>6.4</v>
      </c>
      <c r="W33" s="86" t="s">
        <v>877</v>
      </c>
      <c r="X33" s="87">
        <v>2</v>
      </c>
      <c r="Y33" s="87">
        <f>X33*初始权重设定说明!E11</f>
        <v>1.4</v>
      </c>
      <c r="Z33" s="87">
        <f>X33*权重调整机制!K25</f>
        <v>1.6</v>
      </c>
      <c r="AA33" s="86" t="s">
        <v>878</v>
      </c>
      <c r="AB33" s="87">
        <v>4</v>
      </c>
      <c r="AC33" s="87">
        <f>AB33*初始权重设定说明!E11</f>
        <v>2.8</v>
      </c>
      <c r="AD33" s="87">
        <f>AB33*权重调整机制!K25</f>
        <v>3.2</v>
      </c>
      <c r="AE33" s="86" t="s">
        <v>879</v>
      </c>
      <c r="AF33" s="87">
        <v>4</v>
      </c>
      <c r="AG33" s="87">
        <f>AF33*初始权重设定说明!E11</f>
        <v>2.8</v>
      </c>
      <c r="AH33" s="87">
        <f>AF33*权重调整机制!K25</f>
        <v>3.2</v>
      </c>
      <c r="AI33" s="86" t="s">
        <v>880</v>
      </c>
      <c r="AJ33" s="87">
        <v>8</v>
      </c>
      <c r="AK33" s="87">
        <f>AJ33*初始权重设定说明!E11</f>
        <v>5.6</v>
      </c>
      <c r="AL33" s="87">
        <f>AJ33*权重调整机制!K25</f>
        <v>6.4</v>
      </c>
      <c r="AM33" s="86" t="s">
        <v>881</v>
      </c>
      <c r="AN33" s="87">
        <v>6</v>
      </c>
      <c r="AO33" s="87">
        <f>AN33*初始权重设定说明!E11</f>
        <v>4.2</v>
      </c>
      <c r="AP33" s="87">
        <f>AN33*权重调整机制!K25</f>
        <v>4.8</v>
      </c>
      <c r="AQ33" s="86" t="s">
        <v>882</v>
      </c>
      <c r="AR33" s="87">
        <v>6</v>
      </c>
      <c r="AS33" s="87">
        <f>AR33*初始权重设定说明!E11</f>
        <v>4.2</v>
      </c>
      <c r="AT33" s="87">
        <f>AR33*权重调整机制!K25</f>
        <v>4.8</v>
      </c>
      <c r="AU33" s="86" t="s">
        <v>883</v>
      </c>
      <c r="AV33" s="87">
        <v>8</v>
      </c>
      <c r="AW33" s="87">
        <f>AV33*初始权重设定说明!E11</f>
        <v>5.6</v>
      </c>
      <c r="AX33" s="87">
        <f>AV33*权重调整机制!K25</f>
        <v>6.4</v>
      </c>
      <c r="AY33" s="86" t="s">
        <v>884</v>
      </c>
      <c r="AZ33" s="87">
        <v>6</v>
      </c>
      <c r="BA33" s="87">
        <f>AZ33*初始权重设定说明!E11</f>
        <v>4.2</v>
      </c>
      <c r="BB33" s="87">
        <f>AZ33*权重调整机制!K25</f>
        <v>4.8</v>
      </c>
      <c r="BC33" s="86" t="s">
        <v>885</v>
      </c>
      <c r="BD33" s="87">
        <v>2</v>
      </c>
      <c r="BE33" s="87">
        <f>BD33*初始权重设定说明!E11</f>
        <v>1.4</v>
      </c>
      <c r="BF33" s="87">
        <f>BD33*权重调整机制!K25</f>
        <v>1.6</v>
      </c>
      <c r="BG33" s="86" t="s">
        <v>886</v>
      </c>
      <c r="BH33" s="87">
        <v>8</v>
      </c>
      <c r="BI33" s="87">
        <f>BH33*初始权重设定说明!E11</f>
        <v>5.6</v>
      </c>
      <c r="BJ33" s="87">
        <f>BH33*权重调整机制!K25</f>
        <v>6.4</v>
      </c>
      <c r="BK33" s="86" t="s">
        <v>887</v>
      </c>
      <c r="BL33" s="87">
        <v>10</v>
      </c>
      <c r="BM33" s="87">
        <f>BL33*初始权重设定说明!E11</f>
        <v>7</v>
      </c>
      <c r="BN33" s="87">
        <f>BL33*权重调整机制!K25</f>
        <v>8</v>
      </c>
      <c r="BO33" s="86" t="s">
        <v>888</v>
      </c>
      <c r="BP33" s="87">
        <v>4</v>
      </c>
      <c r="BQ33" s="87">
        <f>BP33*初始权重设定说明!E11</f>
        <v>2.8</v>
      </c>
      <c r="BR33" s="87">
        <f>BP33*权重调整机制!K25</f>
        <v>3.2</v>
      </c>
      <c r="BS33" s="86" t="s">
        <v>889</v>
      </c>
      <c r="BT33" s="87">
        <v>2</v>
      </c>
      <c r="BU33" s="87">
        <f>BT33*初始权重设定说明!E11</f>
        <v>1.4</v>
      </c>
      <c r="BV33" s="87">
        <f>BT33*权重调整机制!K25</f>
        <v>1.6</v>
      </c>
      <c r="BW33" s="86" t="s">
        <v>890</v>
      </c>
      <c r="BX33" s="87">
        <v>10</v>
      </c>
      <c r="BY33" s="87">
        <f>BX33*初始权重设定说明!E11</f>
        <v>7</v>
      </c>
      <c r="BZ33" s="87">
        <f>BX33*权重调整机制!K25</f>
        <v>8</v>
      </c>
      <c r="CA33" s="86" t="s">
        <v>891</v>
      </c>
      <c r="CB33" s="87">
        <v>4</v>
      </c>
      <c r="CC33" s="87">
        <f>CB33*初始权重设定说明!E11</f>
        <v>2.8</v>
      </c>
      <c r="CD33" s="87">
        <f>CB33*权重调整机制!K25</f>
        <v>3.2</v>
      </c>
      <c r="CE33" s="90" t="s">
        <v>892</v>
      </c>
      <c r="CF33" s="87">
        <v>0</v>
      </c>
      <c r="CG33" s="87">
        <f>CF33*初始权重设定说明!E11</f>
        <v>0</v>
      </c>
      <c r="CH33" s="87">
        <f>CF33*权重调整机制!K25</f>
        <v>0</v>
      </c>
      <c r="CI33" s="86" t="s">
        <v>893</v>
      </c>
      <c r="CJ33" s="87">
        <v>4</v>
      </c>
      <c r="CK33" s="87">
        <f>CJ33*初始权重设定说明!E11</f>
        <v>2.8</v>
      </c>
      <c r="CL33" s="87">
        <f>CJ33*权重调整机制!K25</f>
        <v>3.2</v>
      </c>
    </row>
    <row r="34" ht="17" customHeight="1" spans="1:90">
      <c r="A34" s="14"/>
      <c r="B34" s="14"/>
      <c r="C34" s="14"/>
      <c r="D34" s="14"/>
      <c r="E34" s="14"/>
      <c r="F34" s="14"/>
      <c r="G34" s="14"/>
      <c r="H34" s="14"/>
      <c r="I34" s="71" t="s">
        <v>571</v>
      </c>
      <c r="J34" s="71">
        <v>2</v>
      </c>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row>
    <row r="35" ht="17" customHeight="1" spans="1:90">
      <c r="A35" s="14"/>
      <c r="B35" s="14"/>
      <c r="C35" s="14"/>
      <c r="D35" s="14"/>
      <c r="E35" s="14"/>
      <c r="F35" s="14"/>
      <c r="G35" s="14"/>
      <c r="H35" s="14"/>
      <c r="I35" s="71" t="s">
        <v>572</v>
      </c>
      <c r="J35" s="71">
        <v>4</v>
      </c>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row>
    <row r="36" ht="17" customHeight="1" spans="1:90">
      <c r="A36" s="14"/>
      <c r="B36" s="14"/>
      <c r="C36" s="14"/>
      <c r="D36" s="14"/>
      <c r="E36" s="14"/>
      <c r="F36" s="14"/>
      <c r="G36" s="14"/>
      <c r="H36" s="14"/>
      <c r="I36" s="71" t="s">
        <v>573</v>
      </c>
      <c r="J36" s="71">
        <v>6</v>
      </c>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row>
    <row r="37" ht="17" customHeight="1" spans="1:90">
      <c r="A37" s="14"/>
      <c r="B37" s="14"/>
      <c r="C37" s="14"/>
      <c r="D37" s="14"/>
      <c r="E37" s="14"/>
      <c r="F37" s="14"/>
      <c r="G37" s="14"/>
      <c r="H37" s="14"/>
      <c r="I37" s="71" t="s">
        <v>574</v>
      </c>
      <c r="J37" s="71">
        <v>8</v>
      </c>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row>
    <row r="38" ht="17" customHeight="1" spans="1:90">
      <c r="A38" s="14"/>
      <c r="B38" s="14"/>
      <c r="C38" s="15"/>
      <c r="D38" s="15"/>
      <c r="E38" s="15"/>
      <c r="F38" s="15"/>
      <c r="G38" s="15"/>
      <c r="H38" s="15"/>
      <c r="I38" s="71" t="s">
        <v>586</v>
      </c>
      <c r="J38" s="71">
        <v>10</v>
      </c>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row>
    <row r="39" spans="1:90">
      <c r="A39" s="14"/>
      <c r="B39" s="14"/>
      <c r="C39" s="70" t="s">
        <v>155</v>
      </c>
      <c r="D39" s="71" t="s">
        <v>156</v>
      </c>
      <c r="E39" s="70" t="s">
        <v>556</v>
      </c>
      <c r="F39" s="70" t="s">
        <v>589</v>
      </c>
      <c r="G39" s="78"/>
      <c r="H39" s="71" t="s">
        <v>590</v>
      </c>
      <c r="I39" s="71">
        <v>0</v>
      </c>
      <c r="J39" s="71">
        <v>0</v>
      </c>
      <c r="K39" s="86" t="s">
        <v>894</v>
      </c>
      <c r="L39" s="87">
        <v>10</v>
      </c>
      <c r="M39" s="87">
        <f>L39*初始权重设定说明!E12</f>
        <v>5</v>
      </c>
      <c r="N39" s="86">
        <f>L39*权重调整机制!K26</f>
        <v>6</v>
      </c>
      <c r="O39" s="90" t="s">
        <v>596</v>
      </c>
      <c r="P39" s="87">
        <v>0</v>
      </c>
      <c r="Q39" s="87">
        <f>P39*初始权重设定说明!E12</f>
        <v>0</v>
      </c>
      <c r="R39" s="87">
        <f>P39*权重调整机制!K26</f>
        <v>0</v>
      </c>
      <c r="S39" s="86" t="s">
        <v>895</v>
      </c>
      <c r="T39" s="87">
        <v>8</v>
      </c>
      <c r="U39" s="87">
        <f>T39*初始权重设定说明!E12</f>
        <v>4</v>
      </c>
      <c r="V39" s="87">
        <f>T39*权重调整机制!K26</f>
        <v>4.8</v>
      </c>
      <c r="W39" s="86" t="s">
        <v>896</v>
      </c>
      <c r="X39" s="87">
        <v>8</v>
      </c>
      <c r="Y39" s="87">
        <f>X39*初始权重设定说明!E12</f>
        <v>4</v>
      </c>
      <c r="Z39" s="87">
        <f>X39*权重调整机制!K26</f>
        <v>4.8</v>
      </c>
      <c r="AA39" s="86" t="s">
        <v>897</v>
      </c>
      <c r="AB39" s="87">
        <v>8</v>
      </c>
      <c r="AC39" s="87">
        <f>AB39*初始权重设定说明!E12</f>
        <v>4</v>
      </c>
      <c r="AD39" s="87">
        <f>AB39*权重调整机制!K26</f>
        <v>4.8</v>
      </c>
      <c r="AE39" s="86" t="s">
        <v>898</v>
      </c>
      <c r="AF39" s="87">
        <v>4</v>
      </c>
      <c r="AG39" s="87">
        <f>AF39*初始权重设定说明!E12</f>
        <v>2</v>
      </c>
      <c r="AH39" s="87">
        <f>AF39*权重调整机制!K26</f>
        <v>2.4</v>
      </c>
      <c r="AI39" s="86" t="s">
        <v>899</v>
      </c>
      <c r="AJ39" s="87">
        <v>8</v>
      </c>
      <c r="AK39" s="87">
        <f>AJ39*初始权重设定说明!E12</f>
        <v>4</v>
      </c>
      <c r="AL39" s="87">
        <f>AJ39*权重调整机制!K26</f>
        <v>4.8</v>
      </c>
      <c r="AM39" s="86" t="s">
        <v>900</v>
      </c>
      <c r="AN39" s="87">
        <v>4</v>
      </c>
      <c r="AO39" s="87">
        <f>AN39*初始权重设定说明!E12</f>
        <v>2</v>
      </c>
      <c r="AP39" s="87">
        <f>AN39*权重调整机制!K26</f>
        <v>2.4</v>
      </c>
      <c r="AQ39" s="86" t="s">
        <v>901</v>
      </c>
      <c r="AR39" s="87">
        <v>6</v>
      </c>
      <c r="AS39" s="87">
        <f>AR39*初始权重设定说明!E12</f>
        <v>3</v>
      </c>
      <c r="AT39" s="87">
        <f>AR39*权重调整机制!K26</f>
        <v>3.6</v>
      </c>
      <c r="AU39" s="86" t="s">
        <v>902</v>
      </c>
      <c r="AV39" s="87">
        <v>8</v>
      </c>
      <c r="AW39" s="87">
        <f>AV39*初始权重设定说明!E12</f>
        <v>4</v>
      </c>
      <c r="AX39" s="87">
        <f>AV39*权重调整机制!K26</f>
        <v>4.8</v>
      </c>
      <c r="AY39" s="86" t="s">
        <v>903</v>
      </c>
      <c r="AZ39" s="87">
        <v>8</v>
      </c>
      <c r="BA39" s="87">
        <f>AZ39*初始权重设定说明!E12</f>
        <v>4</v>
      </c>
      <c r="BB39" s="87">
        <f>AZ39*权重调整机制!K26</f>
        <v>4.8</v>
      </c>
      <c r="BC39" s="86" t="s">
        <v>904</v>
      </c>
      <c r="BD39" s="87">
        <v>6</v>
      </c>
      <c r="BE39" s="87">
        <f>BD39*初始权重设定说明!E12</f>
        <v>3</v>
      </c>
      <c r="BF39" s="87">
        <f>BD39*权重调整机制!K26</f>
        <v>3.6</v>
      </c>
      <c r="BG39" s="86" t="s">
        <v>905</v>
      </c>
      <c r="BH39" s="87">
        <v>10</v>
      </c>
      <c r="BI39" s="87">
        <f>BH39*初始权重设定说明!E12</f>
        <v>5</v>
      </c>
      <c r="BJ39" s="87">
        <f>BH39*权重调整机制!K26</f>
        <v>6</v>
      </c>
      <c r="BK39" s="86" t="s">
        <v>906</v>
      </c>
      <c r="BL39" s="87">
        <v>10</v>
      </c>
      <c r="BM39" s="87">
        <f>BL39*初始权重设定说明!E12</f>
        <v>5</v>
      </c>
      <c r="BN39" s="87">
        <f>BL39*权重调整机制!K26</f>
        <v>6</v>
      </c>
      <c r="BO39" s="86" t="s">
        <v>907</v>
      </c>
      <c r="BP39" s="87">
        <v>8</v>
      </c>
      <c r="BQ39" s="87">
        <f>BP39*初始权重设定说明!E12</f>
        <v>4</v>
      </c>
      <c r="BR39" s="87">
        <f>BP39*权重调整机制!K26</f>
        <v>4.8</v>
      </c>
      <c r="BS39" s="91" t="s">
        <v>908</v>
      </c>
      <c r="BT39" s="87">
        <v>0</v>
      </c>
      <c r="BU39" s="87">
        <f>BT39*初始权重设定说明!E12</f>
        <v>0</v>
      </c>
      <c r="BV39" s="87">
        <f>BT39*权重调整机制!K26</f>
        <v>0</v>
      </c>
      <c r="BW39" s="86" t="s">
        <v>909</v>
      </c>
      <c r="BX39" s="87">
        <v>10</v>
      </c>
      <c r="BY39" s="87">
        <f>BX39*初始权重设定说明!E12</f>
        <v>5</v>
      </c>
      <c r="BZ39" s="87">
        <f>BX39*权重调整机制!K26</f>
        <v>6</v>
      </c>
      <c r="CA39" s="86" t="s">
        <v>910</v>
      </c>
      <c r="CB39" s="87">
        <v>8</v>
      </c>
      <c r="CC39" s="87">
        <f>CB39*初始权重设定说明!E12</f>
        <v>4</v>
      </c>
      <c r="CD39" s="87">
        <f>CB39*权重调整机制!K26</f>
        <v>4.8</v>
      </c>
      <c r="CE39" s="90" t="s">
        <v>892</v>
      </c>
      <c r="CF39" s="87">
        <v>0</v>
      </c>
      <c r="CG39" s="87">
        <f>CF39*初始权重设定说明!E12</f>
        <v>0</v>
      </c>
      <c r="CH39" s="87">
        <f>CF39*权重调整机制!K26</f>
        <v>0</v>
      </c>
      <c r="CI39" s="86" t="s">
        <v>911</v>
      </c>
      <c r="CJ39" s="87">
        <v>8</v>
      </c>
      <c r="CK39" s="87">
        <f>CJ39*初始权重设定说明!E12</f>
        <v>4</v>
      </c>
      <c r="CL39" s="87">
        <f>CJ39*权重调整机制!K26</f>
        <v>4.8</v>
      </c>
    </row>
    <row r="40" ht="17" customHeight="1" spans="1:90">
      <c r="A40" s="14"/>
      <c r="B40" s="14"/>
      <c r="C40" s="14"/>
      <c r="D40" s="14"/>
      <c r="E40" s="14"/>
      <c r="F40" s="14"/>
      <c r="G40" s="14"/>
      <c r="H40" s="14"/>
      <c r="I40" s="71" t="s">
        <v>571</v>
      </c>
      <c r="J40" s="71">
        <v>2</v>
      </c>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row>
    <row r="41" ht="17" customHeight="1" spans="1:90">
      <c r="A41" s="14"/>
      <c r="B41" s="14"/>
      <c r="C41" s="14"/>
      <c r="D41" s="14"/>
      <c r="E41" s="14"/>
      <c r="F41" s="14"/>
      <c r="G41" s="14"/>
      <c r="H41" s="14"/>
      <c r="I41" s="71" t="s">
        <v>572</v>
      </c>
      <c r="J41" s="71">
        <v>4</v>
      </c>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row>
    <row r="42" ht="17" customHeight="1" spans="1:90">
      <c r="A42" s="14"/>
      <c r="B42" s="14"/>
      <c r="C42" s="14"/>
      <c r="D42" s="14"/>
      <c r="E42" s="14"/>
      <c r="F42" s="14"/>
      <c r="G42" s="14"/>
      <c r="H42" s="14"/>
      <c r="I42" s="71" t="s">
        <v>573</v>
      </c>
      <c r="J42" s="71">
        <v>6</v>
      </c>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row>
    <row r="43" ht="17" customHeight="1" spans="1:90">
      <c r="A43" s="14"/>
      <c r="B43" s="14"/>
      <c r="C43" s="14"/>
      <c r="D43" s="14"/>
      <c r="E43" s="14"/>
      <c r="F43" s="14"/>
      <c r="G43" s="14"/>
      <c r="H43" s="14"/>
      <c r="I43" s="71" t="s">
        <v>574</v>
      </c>
      <c r="J43" s="71">
        <v>8</v>
      </c>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row>
    <row r="44" ht="17" customHeight="1" spans="1:90">
      <c r="A44" s="14"/>
      <c r="B44" s="14"/>
      <c r="C44" s="15"/>
      <c r="D44" s="15"/>
      <c r="E44" s="15"/>
      <c r="F44" s="15"/>
      <c r="G44" s="15"/>
      <c r="H44" s="15"/>
      <c r="I44" s="71" t="s">
        <v>586</v>
      </c>
      <c r="J44" s="71">
        <v>10</v>
      </c>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row>
    <row r="45" spans="1:90">
      <c r="A45" s="14"/>
      <c r="B45" s="14"/>
      <c r="C45" s="70" t="s">
        <v>166</v>
      </c>
      <c r="D45" s="71" t="s">
        <v>167</v>
      </c>
      <c r="E45" s="70" t="s">
        <v>556</v>
      </c>
      <c r="F45" s="70" t="s">
        <v>591</v>
      </c>
      <c r="G45" s="78"/>
      <c r="H45" s="71" t="s">
        <v>592</v>
      </c>
      <c r="I45" s="71">
        <v>0</v>
      </c>
      <c r="J45" s="71">
        <v>0</v>
      </c>
      <c r="K45" s="86" t="s">
        <v>912</v>
      </c>
      <c r="L45" s="87">
        <v>10</v>
      </c>
      <c r="M45" s="87">
        <f>L45*初始权重设定说明!E13</f>
        <v>1</v>
      </c>
      <c r="N45" s="86">
        <f>L45*权重调整机制!K27</f>
        <v>1</v>
      </c>
      <c r="O45" s="90" t="s">
        <v>596</v>
      </c>
      <c r="P45" s="87">
        <v>0</v>
      </c>
      <c r="Q45" s="87">
        <f>P45*初始权重设定说明!E13</f>
        <v>0</v>
      </c>
      <c r="R45" s="87">
        <f>P45*权重调整机制!K27</f>
        <v>0</v>
      </c>
      <c r="S45" s="91" t="s">
        <v>596</v>
      </c>
      <c r="T45" s="87">
        <v>0</v>
      </c>
      <c r="U45" s="87">
        <f>T45*初始权重设定说明!E13</f>
        <v>0</v>
      </c>
      <c r="V45" s="87">
        <f>T45*权重调整机制!K27</f>
        <v>0</v>
      </c>
      <c r="W45" s="91" t="s">
        <v>596</v>
      </c>
      <c r="X45" s="87">
        <v>0</v>
      </c>
      <c r="Y45" s="87">
        <f>X45*初始权重设定说明!E13</f>
        <v>0</v>
      </c>
      <c r="Z45" s="87">
        <f>X45*权重调整机制!K27</f>
        <v>0</v>
      </c>
      <c r="AA45" s="91" t="s">
        <v>596</v>
      </c>
      <c r="AB45" s="87">
        <v>0</v>
      </c>
      <c r="AC45" s="87">
        <f>AB45*初始权重设定说明!E13</f>
        <v>0</v>
      </c>
      <c r="AD45" s="87">
        <f>AB45*权重调整机制!K27</f>
        <v>0</v>
      </c>
      <c r="AE45" s="86" t="s">
        <v>913</v>
      </c>
      <c r="AF45" s="87">
        <v>6</v>
      </c>
      <c r="AG45" s="87">
        <f>AF45*初始权重设定说明!E13</f>
        <v>0.6</v>
      </c>
      <c r="AH45" s="87">
        <f>AF45*权重调整机制!K27</f>
        <v>0.6</v>
      </c>
      <c r="AI45" s="91" t="s">
        <v>596</v>
      </c>
      <c r="AJ45" s="87">
        <v>0</v>
      </c>
      <c r="AK45" s="87">
        <f>AJ45*初始权重设定说明!E13</f>
        <v>0</v>
      </c>
      <c r="AL45" s="87">
        <f>AJ45*权重调整机制!K27</f>
        <v>0</v>
      </c>
      <c r="AM45" s="91" t="s">
        <v>596</v>
      </c>
      <c r="AN45" s="87">
        <v>0</v>
      </c>
      <c r="AO45" s="87">
        <f>AN45*初始权重设定说明!E13</f>
        <v>0</v>
      </c>
      <c r="AP45" s="87">
        <f>AN45*权重调整机制!K27</f>
        <v>0</v>
      </c>
      <c r="AQ45" s="91" t="s">
        <v>596</v>
      </c>
      <c r="AR45" s="87">
        <v>0</v>
      </c>
      <c r="AS45" s="87">
        <f>AR45*初始权重设定说明!E13</f>
        <v>0</v>
      </c>
      <c r="AT45" s="87">
        <f>AR45*权重调整机制!K27</f>
        <v>0</v>
      </c>
      <c r="AU45" s="86" t="s">
        <v>914</v>
      </c>
      <c r="AV45" s="87">
        <v>2</v>
      </c>
      <c r="AW45" s="87">
        <f>AV45*初始权重设定说明!E13</f>
        <v>0.2</v>
      </c>
      <c r="AX45" s="87">
        <f>AV45*权重调整机制!K27</f>
        <v>0.2</v>
      </c>
      <c r="AY45" s="91" t="s">
        <v>596</v>
      </c>
      <c r="AZ45" s="87">
        <v>0</v>
      </c>
      <c r="BA45" s="87">
        <f>AZ45*初始权重设定说明!E13</f>
        <v>0</v>
      </c>
      <c r="BB45" s="87">
        <f>AZ45*权重调整机制!K27</f>
        <v>0</v>
      </c>
      <c r="BC45" s="91" t="s">
        <v>596</v>
      </c>
      <c r="BD45" s="87">
        <v>0</v>
      </c>
      <c r="BE45" s="87">
        <f>BD45*初始权重设定说明!E13</f>
        <v>0</v>
      </c>
      <c r="BF45" s="87">
        <f>BD45*权重调整机制!K27</f>
        <v>0</v>
      </c>
      <c r="BG45" s="91" t="s">
        <v>596</v>
      </c>
      <c r="BH45" s="96">
        <v>0</v>
      </c>
      <c r="BI45" s="87">
        <f>BH45*初始权重设定说明!E13</f>
        <v>0</v>
      </c>
      <c r="BJ45" s="87">
        <f>BH45*权重调整机制!K27</f>
        <v>0</v>
      </c>
      <c r="BK45" s="91" t="s">
        <v>596</v>
      </c>
      <c r="BL45" s="87">
        <v>0</v>
      </c>
      <c r="BM45" s="87">
        <f>BL45*初始权重设定说明!E13</f>
        <v>0</v>
      </c>
      <c r="BN45" s="87">
        <f>BL45*权重调整机制!K27</f>
        <v>0</v>
      </c>
      <c r="BO45" s="91" t="s">
        <v>596</v>
      </c>
      <c r="BP45" s="87">
        <v>0</v>
      </c>
      <c r="BQ45" s="87">
        <f>BP45*初始权重设定说明!E13</f>
        <v>0</v>
      </c>
      <c r="BR45" s="87">
        <f>BP45*权重调整机制!K27</f>
        <v>0</v>
      </c>
      <c r="BS45" s="91" t="s">
        <v>596</v>
      </c>
      <c r="BT45" s="87">
        <v>0</v>
      </c>
      <c r="BU45" s="87">
        <f>BT45*初始权重设定说明!E13</f>
        <v>0</v>
      </c>
      <c r="BV45" s="87">
        <f>BT45*权重调整机制!K27</f>
        <v>0</v>
      </c>
      <c r="BW45" s="91" t="s">
        <v>596</v>
      </c>
      <c r="BX45" s="87">
        <v>0</v>
      </c>
      <c r="BY45" s="87">
        <f>BX45*初始权重设定说明!E13</f>
        <v>0</v>
      </c>
      <c r="BZ45" s="87">
        <f>BX45*权重调整机制!K27</f>
        <v>0</v>
      </c>
      <c r="CA45" s="91" t="s">
        <v>596</v>
      </c>
      <c r="CB45" s="87">
        <v>0</v>
      </c>
      <c r="CC45" s="87">
        <f>CB45*初始权重设定说明!E13</f>
        <v>0</v>
      </c>
      <c r="CD45" s="87">
        <f>CB45*权重调整机制!K27</f>
        <v>0</v>
      </c>
      <c r="CE45" s="91" t="s">
        <v>596</v>
      </c>
      <c r="CF45" s="87">
        <v>0</v>
      </c>
      <c r="CG45" s="87">
        <f>CF45*初始权重设定说明!E13</f>
        <v>0</v>
      </c>
      <c r="CH45" s="87">
        <f>CF45*权重调整机制!K27</f>
        <v>0</v>
      </c>
      <c r="CI45" s="91" t="s">
        <v>596</v>
      </c>
      <c r="CJ45" s="87">
        <v>0</v>
      </c>
      <c r="CK45" s="87">
        <f>CJ45*初始权重设定说明!E13</f>
        <v>0</v>
      </c>
      <c r="CL45" s="87">
        <f>CJ45*权重调整机制!K27</f>
        <v>0</v>
      </c>
    </row>
    <row r="46" ht="17" customHeight="1" spans="1:90">
      <c r="A46" s="14"/>
      <c r="B46" s="14"/>
      <c r="C46" s="14"/>
      <c r="D46" s="14"/>
      <c r="E46" s="14"/>
      <c r="F46" s="14"/>
      <c r="G46" s="14"/>
      <c r="H46" s="14"/>
      <c r="I46" s="71" t="s">
        <v>571</v>
      </c>
      <c r="J46" s="71">
        <v>2</v>
      </c>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row>
    <row r="47" ht="17" customHeight="1" spans="1:90">
      <c r="A47" s="14"/>
      <c r="B47" s="14"/>
      <c r="C47" s="14"/>
      <c r="D47" s="14"/>
      <c r="E47" s="14"/>
      <c r="F47" s="14"/>
      <c r="G47" s="14"/>
      <c r="H47" s="14"/>
      <c r="I47" s="71" t="s">
        <v>572</v>
      </c>
      <c r="J47" s="71">
        <v>4</v>
      </c>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row>
    <row r="48" ht="17" customHeight="1" spans="1:90">
      <c r="A48" s="14"/>
      <c r="B48" s="14"/>
      <c r="C48" s="14"/>
      <c r="D48" s="14"/>
      <c r="E48" s="14"/>
      <c r="F48" s="14"/>
      <c r="G48" s="14"/>
      <c r="H48" s="14"/>
      <c r="I48" s="71" t="s">
        <v>573</v>
      </c>
      <c r="J48" s="71">
        <v>6</v>
      </c>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row>
    <row r="49" ht="17" customHeight="1" spans="1:90">
      <c r="A49" s="14"/>
      <c r="B49" s="14"/>
      <c r="C49" s="14"/>
      <c r="D49" s="14"/>
      <c r="E49" s="14"/>
      <c r="F49" s="14"/>
      <c r="G49" s="14"/>
      <c r="H49" s="14"/>
      <c r="I49" s="71" t="s">
        <v>574</v>
      </c>
      <c r="J49" s="71">
        <v>8</v>
      </c>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row>
    <row r="50" ht="17" customHeight="1" spans="1:90">
      <c r="A50" s="15"/>
      <c r="B50" s="15"/>
      <c r="C50" s="15"/>
      <c r="D50" s="15"/>
      <c r="E50" s="15"/>
      <c r="F50" s="15"/>
      <c r="G50" s="15"/>
      <c r="H50" s="15"/>
      <c r="I50" s="71" t="s">
        <v>586</v>
      </c>
      <c r="J50" s="71">
        <v>10</v>
      </c>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row>
    <row r="51" spans="1:90">
      <c r="A51" s="72" t="s">
        <v>200</v>
      </c>
      <c r="B51" s="73" t="s">
        <v>226</v>
      </c>
      <c r="C51" s="74" t="s">
        <v>234</v>
      </c>
      <c r="D51" s="75" t="s">
        <v>235</v>
      </c>
      <c r="E51" s="74" t="s">
        <v>556</v>
      </c>
      <c r="F51" s="74" t="s">
        <v>594</v>
      </c>
      <c r="G51" s="79"/>
      <c r="H51" s="75" t="s">
        <v>595</v>
      </c>
      <c r="I51" s="79" t="s">
        <v>596</v>
      </c>
      <c r="J51" s="79">
        <v>0</v>
      </c>
      <c r="K51" s="86" t="s">
        <v>915</v>
      </c>
      <c r="L51" s="87">
        <v>10</v>
      </c>
      <c r="M51" s="87">
        <f>L51*初始权重设定说明!E14</f>
        <v>7</v>
      </c>
      <c r="N51" s="86">
        <f>L51*权重调整机制!K28</f>
        <v>7</v>
      </c>
      <c r="O51" s="91" t="s">
        <v>596</v>
      </c>
      <c r="P51" s="87">
        <v>0</v>
      </c>
      <c r="Q51" s="87">
        <f>P51*初始权重设定说明!E14</f>
        <v>0</v>
      </c>
      <c r="R51" s="87">
        <f>P51*权重调整机制!K28</f>
        <v>0</v>
      </c>
      <c r="S51" s="86" t="s">
        <v>916</v>
      </c>
      <c r="T51" s="87">
        <v>5</v>
      </c>
      <c r="U51" s="87">
        <f>T51*初始权重设定说明!E14</f>
        <v>3.5</v>
      </c>
      <c r="V51" s="87">
        <f>T51*权重调整机制!K28</f>
        <v>3.5</v>
      </c>
      <c r="W51" s="86" t="s">
        <v>917</v>
      </c>
      <c r="X51" s="87">
        <v>2.5</v>
      </c>
      <c r="Y51" s="87">
        <f>X51*初始权重设定说明!E14</f>
        <v>1.75</v>
      </c>
      <c r="Z51" s="87">
        <f>X51*权重调整机制!K28</f>
        <v>1.75</v>
      </c>
      <c r="AA51" s="86" t="s">
        <v>918</v>
      </c>
      <c r="AB51" s="87">
        <v>5</v>
      </c>
      <c r="AC51" s="87">
        <f>AB51*初始权重设定说明!E14</f>
        <v>3.5</v>
      </c>
      <c r="AD51" s="87">
        <f>AB51*权重调整机制!K28</f>
        <v>3.5</v>
      </c>
      <c r="AE51" s="90" t="s">
        <v>919</v>
      </c>
      <c r="AF51" s="87">
        <v>0</v>
      </c>
      <c r="AG51" s="87">
        <f>AF51*初始权重设定说明!E14</f>
        <v>0</v>
      </c>
      <c r="AH51" s="87">
        <f>AF51*权重调整机制!K28</f>
        <v>0</v>
      </c>
      <c r="AI51" s="86" t="s">
        <v>920</v>
      </c>
      <c r="AJ51" s="87">
        <v>5</v>
      </c>
      <c r="AK51" s="87">
        <f>AJ51*初始权重设定说明!E14</f>
        <v>3.5</v>
      </c>
      <c r="AL51" s="87">
        <f>AJ51*权重调整机制!K28</f>
        <v>3.5</v>
      </c>
      <c r="AM51" s="86" t="s">
        <v>921</v>
      </c>
      <c r="AN51" s="87">
        <v>5</v>
      </c>
      <c r="AO51" s="87">
        <f>AN51*初始权重设定说明!E14</f>
        <v>3.5</v>
      </c>
      <c r="AP51" s="87">
        <f>AN51*权重调整机制!K28</f>
        <v>3.5</v>
      </c>
      <c r="AQ51" s="86" t="s">
        <v>922</v>
      </c>
      <c r="AR51" s="87">
        <v>5</v>
      </c>
      <c r="AS51" s="87">
        <f>AR51*初始权重设定说明!E14</f>
        <v>3.5</v>
      </c>
      <c r="AT51" s="87">
        <f>AR51*权重调整机制!K28</f>
        <v>3.5</v>
      </c>
      <c r="AU51" s="86" t="s">
        <v>923</v>
      </c>
      <c r="AV51" s="87">
        <v>10</v>
      </c>
      <c r="AW51" s="87">
        <f>AV51*初始权重设定说明!E14</f>
        <v>7</v>
      </c>
      <c r="AX51" s="87">
        <f>AV51*权重调整机制!K28</f>
        <v>7</v>
      </c>
      <c r="AY51" s="91" t="s">
        <v>596</v>
      </c>
      <c r="AZ51" s="87">
        <v>0</v>
      </c>
      <c r="BA51" s="87">
        <f>AZ51*初始权重设定说明!E14</f>
        <v>0</v>
      </c>
      <c r="BB51" s="87">
        <f>AZ51*权重调整机制!K28</f>
        <v>0</v>
      </c>
      <c r="BC51" s="86" t="s">
        <v>924</v>
      </c>
      <c r="BD51" s="87">
        <v>5</v>
      </c>
      <c r="BE51" s="87">
        <f>BD51*初始权重设定说明!E14</f>
        <v>3.5</v>
      </c>
      <c r="BF51" s="87">
        <f>BD51*权重调整机制!K28</f>
        <v>3.5</v>
      </c>
      <c r="BG51" s="86" t="s">
        <v>925</v>
      </c>
      <c r="BH51" s="87">
        <v>10</v>
      </c>
      <c r="BI51" s="87">
        <f>BH51*初始权重设定说明!E14</f>
        <v>7</v>
      </c>
      <c r="BJ51" s="87">
        <f>BH51*权重调整机制!K28</f>
        <v>7</v>
      </c>
      <c r="BK51" s="86" t="s">
        <v>926</v>
      </c>
      <c r="BL51" s="87">
        <v>5</v>
      </c>
      <c r="BM51" s="87">
        <f>BL51*初始权重设定说明!E14</f>
        <v>3.5</v>
      </c>
      <c r="BN51" s="87">
        <f>BL51*权重调整机制!K28</f>
        <v>3.5</v>
      </c>
      <c r="BO51" s="86" t="s">
        <v>927</v>
      </c>
      <c r="BP51" s="87">
        <v>5</v>
      </c>
      <c r="BQ51" s="87">
        <f>BP51*初始权重设定说明!E14</f>
        <v>3.5</v>
      </c>
      <c r="BR51" s="87">
        <f>BP51*权重调整机制!K28</f>
        <v>3.5</v>
      </c>
      <c r="BS51" s="91" t="s">
        <v>596</v>
      </c>
      <c r="BT51" s="87">
        <v>0</v>
      </c>
      <c r="BU51" s="87">
        <f>BT51*初始权重设定说明!E14</f>
        <v>0</v>
      </c>
      <c r="BV51" s="87">
        <f>BT51*权重调整机制!K28</f>
        <v>0</v>
      </c>
      <c r="BW51" s="86" t="s">
        <v>928</v>
      </c>
      <c r="BX51" s="87">
        <v>5</v>
      </c>
      <c r="BY51" s="87">
        <f>BX51*初始权重设定说明!E14</f>
        <v>3.5</v>
      </c>
      <c r="BZ51" s="87">
        <f>BX51*权重调整机制!K28</f>
        <v>3.5</v>
      </c>
      <c r="CA51" s="90" t="s">
        <v>929</v>
      </c>
      <c r="CB51" s="87">
        <v>0</v>
      </c>
      <c r="CC51" s="87">
        <f>CB51*初始权重设定说明!E14</f>
        <v>0</v>
      </c>
      <c r="CD51" s="87">
        <f>CB51*权重调整机制!K28</f>
        <v>0</v>
      </c>
      <c r="CE51" s="97" t="s">
        <v>930</v>
      </c>
      <c r="CF51" s="87">
        <v>5</v>
      </c>
      <c r="CG51" s="87">
        <f>CF51*初始权重设定说明!E14</f>
        <v>3.5</v>
      </c>
      <c r="CH51" s="87">
        <f>CF51*权重调整机制!K28</f>
        <v>3.5</v>
      </c>
      <c r="CI51" s="97" t="s">
        <v>931</v>
      </c>
      <c r="CJ51" s="87">
        <v>5</v>
      </c>
      <c r="CK51" s="87">
        <f>CJ51*初始权重设定说明!E14</f>
        <v>3.5</v>
      </c>
      <c r="CL51" s="87">
        <f>CJ51*权重调整机制!K28</f>
        <v>3.5</v>
      </c>
    </row>
    <row r="52" spans="1:90">
      <c r="A52" s="14"/>
      <c r="B52" s="14"/>
      <c r="C52" s="14"/>
      <c r="D52" s="14"/>
      <c r="E52" s="14"/>
      <c r="F52" s="14"/>
      <c r="G52" s="14"/>
      <c r="H52" s="14"/>
      <c r="I52" s="79" t="s">
        <v>597</v>
      </c>
      <c r="J52" s="79">
        <v>2.5</v>
      </c>
      <c r="K52" s="14"/>
      <c r="L52" s="14"/>
      <c r="M52" s="14"/>
      <c r="N52" s="92"/>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row>
    <row r="53" spans="1:90">
      <c r="A53" s="14"/>
      <c r="B53" s="14"/>
      <c r="C53" s="14"/>
      <c r="D53" s="14"/>
      <c r="E53" s="14"/>
      <c r="F53" s="14"/>
      <c r="G53" s="14"/>
      <c r="H53" s="14"/>
      <c r="I53" s="79" t="s">
        <v>598</v>
      </c>
      <c r="J53" s="79">
        <v>5</v>
      </c>
      <c r="K53" s="14"/>
      <c r="L53" s="14"/>
      <c r="M53" s="14"/>
      <c r="N53" s="92"/>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row>
    <row r="54" spans="1:90">
      <c r="A54" s="14"/>
      <c r="B54" s="14"/>
      <c r="C54" s="14"/>
      <c r="D54" s="14"/>
      <c r="E54" s="14"/>
      <c r="F54" s="14"/>
      <c r="G54" s="14"/>
      <c r="H54" s="14"/>
      <c r="I54" s="79" t="s">
        <v>599</v>
      </c>
      <c r="J54" s="79">
        <v>7.5</v>
      </c>
      <c r="K54" s="14"/>
      <c r="L54" s="14"/>
      <c r="M54" s="14"/>
      <c r="N54" s="92"/>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row>
    <row r="55" spans="1:90">
      <c r="A55" s="14"/>
      <c r="B55" s="14"/>
      <c r="C55" s="15"/>
      <c r="D55" s="15"/>
      <c r="E55" s="15"/>
      <c r="F55" s="15"/>
      <c r="G55" s="15"/>
      <c r="H55" s="15"/>
      <c r="I55" s="79" t="s">
        <v>600</v>
      </c>
      <c r="J55" s="79">
        <v>10</v>
      </c>
      <c r="K55" s="15"/>
      <c r="L55" s="15"/>
      <c r="M55" s="15"/>
      <c r="N55" s="92"/>
      <c r="O55" s="15"/>
      <c r="P55" s="15"/>
      <c r="Q55" s="15"/>
      <c r="R55" s="15"/>
      <c r="S55" s="15"/>
      <c r="T55" s="15"/>
      <c r="U55" s="15"/>
      <c r="V55" s="1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row>
    <row r="56" spans="1:90">
      <c r="A56" s="14"/>
      <c r="B56" s="14"/>
      <c r="C56" s="74" t="s">
        <v>247</v>
      </c>
      <c r="D56" s="75" t="s">
        <v>248</v>
      </c>
      <c r="E56" s="80" t="s">
        <v>601</v>
      </c>
      <c r="F56" s="80" t="s">
        <v>602</v>
      </c>
      <c r="G56" s="81"/>
      <c r="H56" s="75" t="s">
        <v>603</v>
      </c>
      <c r="I56" s="79" t="s">
        <v>604</v>
      </c>
      <c r="J56" s="79">
        <v>1</v>
      </c>
      <c r="K56" s="86" t="s">
        <v>932</v>
      </c>
      <c r="L56" s="87">
        <v>2.19</v>
      </c>
      <c r="M56" s="87">
        <f>SUM(L56:L61)*初始权重设定说明!E15</f>
        <v>1.533</v>
      </c>
      <c r="N56" s="93">
        <f>SUM(L56:L61)*权重调整机制!K29</f>
        <v>1.533</v>
      </c>
      <c r="O56" s="90" t="s">
        <v>596</v>
      </c>
      <c r="P56" s="87">
        <v>0</v>
      </c>
      <c r="Q56" s="87">
        <f>SUM(P56:P61)*初始权重设定说明!E15</f>
        <v>0</v>
      </c>
      <c r="R56" s="87">
        <f>SUM(P56:P61)*权重调整机制!K29</f>
        <v>0</v>
      </c>
      <c r="S56" s="86" t="s">
        <v>933</v>
      </c>
      <c r="T56" s="87">
        <v>2.15</v>
      </c>
      <c r="U56" s="87">
        <f>SUM(T56:T61)*初始权重设定说明!E15</f>
        <v>1.96</v>
      </c>
      <c r="V56" s="87">
        <f>SUM(T56:T61)*权重调整机制!K29</f>
        <v>1.96</v>
      </c>
      <c r="W56" s="90" t="s">
        <v>934</v>
      </c>
      <c r="X56" s="87">
        <v>0</v>
      </c>
      <c r="Y56" s="87">
        <f>SUM(X56:X61)*初始权重设定说明!E15</f>
        <v>0</v>
      </c>
      <c r="Z56" s="87">
        <f>SUM(X56:X61)*权重调整机制!K29</f>
        <v>0</v>
      </c>
      <c r="AA56" s="86" t="s">
        <v>935</v>
      </c>
      <c r="AB56" s="87">
        <v>3</v>
      </c>
      <c r="AC56" s="87">
        <f>SUM(AB56:AB61)*初始权重设定说明!E15</f>
        <v>3.843</v>
      </c>
      <c r="AD56" s="87">
        <f>SUM(AB56:AB61)*权重调整机制!K29</f>
        <v>3.843</v>
      </c>
      <c r="AE56" s="91" t="s">
        <v>919</v>
      </c>
      <c r="AF56" s="87">
        <v>0</v>
      </c>
      <c r="AG56" s="87">
        <f>SUM(AF56:AF61)*初始权重设定说明!E15</f>
        <v>0</v>
      </c>
      <c r="AH56" s="87">
        <f>SUM(AF56:AF61)*权重调整机制!K29</f>
        <v>0</v>
      </c>
      <c r="AI56" s="86" t="s">
        <v>936</v>
      </c>
      <c r="AJ56" s="87">
        <v>2.4</v>
      </c>
      <c r="AK56" s="87">
        <f>SUM(AJ56:AJ61)*初始权重设定说明!E15</f>
        <v>4.165</v>
      </c>
      <c r="AL56" s="87">
        <f>SUM(AJ56:AJ61)*权重调整机制!K29</f>
        <v>4.165</v>
      </c>
      <c r="AM56" s="86" t="s">
        <v>936</v>
      </c>
      <c r="AN56" s="87">
        <v>0.69</v>
      </c>
      <c r="AO56" s="87">
        <f>SUM(AN56:AN61)*初始权重设定说明!E15</f>
        <v>1.113</v>
      </c>
      <c r="AP56" s="87">
        <f>SUM(AN56:AN61)*权重调整机制!K29</f>
        <v>1.113</v>
      </c>
      <c r="AQ56" s="86" t="s">
        <v>937</v>
      </c>
      <c r="AR56" s="87">
        <v>1.83</v>
      </c>
      <c r="AS56" s="87">
        <f>SUM(AR56:AR61)*初始权重设定说明!E15</f>
        <v>2.779</v>
      </c>
      <c r="AT56" s="87">
        <f>SUM(AR56:AR61)*权重调整机制!K29</f>
        <v>2.779</v>
      </c>
      <c r="AU56" s="86" t="s">
        <v>938</v>
      </c>
      <c r="AV56" s="87">
        <v>3</v>
      </c>
      <c r="AW56" s="87">
        <f>SUM(AV56:AV61)*初始权重设定说明!E15</f>
        <v>7</v>
      </c>
      <c r="AX56" s="87">
        <f>SUM(AV56:AV61)*权重调整机制!K29</f>
        <v>7</v>
      </c>
      <c r="AY56" s="91" t="s">
        <v>596</v>
      </c>
      <c r="AZ56" s="87">
        <v>0</v>
      </c>
      <c r="BA56" s="87">
        <f>SUM(AZ56:AZ61)*初始权重设定说明!E15</f>
        <v>0</v>
      </c>
      <c r="BB56" s="87">
        <f>SUM(AZ56:AZ61)*权重调整机制!K29</f>
        <v>0</v>
      </c>
      <c r="BC56" s="86" t="s">
        <v>939</v>
      </c>
      <c r="BD56" s="87">
        <v>1.91</v>
      </c>
      <c r="BE56" s="87">
        <f>SUM(BD56:BD61)*初始权重设定说明!E15</f>
        <v>4.186</v>
      </c>
      <c r="BF56" s="87">
        <f>SUM(BD56:BD61)*权重调整机制!K29</f>
        <v>4.186</v>
      </c>
      <c r="BG56" s="86" t="s">
        <v>940</v>
      </c>
      <c r="BH56" s="87">
        <v>0</v>
      </c>
      <c r="BI56" s="87">
        <f>SUM(BH56:BH61)*初始权重设定说明!E15</f>
        <v>0</v>
      </c>
      <c r="BJ56" s="87">
        <f>SUM(BH56:BH61)*权重调整机制!K29</f>
        <v>0</v>
      </c>
      <c r="BK56" s="86" t="s">
        <v>941</v>
      </c>
      <c r="BL56" s="87">
        <v>1.84</v>
      </c>
      <c r="BM56" s="87">
        <f>SUM(BL56:BL61)*初始权重设定说明!E15</f>
        <v>2.422</v>
      </c>
      <c r="BN56" s="87">
        <f>SUM(BL56:BL61)*权重调整机制!K29</f>
        <v>2.422</v>
      </c>
      <c r="BO56" s="86" t="s">
        <v>942</v>
      </c>
      <c r="BP56" s="87">
        <v>1.95</v>
      </c>
      <c r="BQ56" s="87">
        <f>SUM(BP56:BP61)*初始权重设定说明!E15</f>
        <v>2.898</v>
      </c>
      <c r="BR56" s="87">
        <f>SUM(BP56:BP61)*权重调整机制!K29</f>
        <v>2.898</v>
      </c>
      <c r="BS56" s="91" t="s">
        <v>596</v>
      </c>
      <c r="BT56" s="87">
        <v>0</v>
      </c>
      <c r="BU56" s="87">
        <f>SUM(BT56:BT61)*初始权重设定说明!E15</f>
        <v>0</v>
      </c>
      <c r="BV56" s="87">
        <f>SUM(BT56:BT61)*权重调整机制!K29</f>
        <v>0</v>
      </c>
      <c r="BW56" s="86" t="s">
        <v>943</v>
      </c>
      <c r="BX56" s="87">
        <v>2.52</v>
      </c>
      <c r="BY56" s="87">
        <f>SUM(BX56:BX61)*初始权重设定说明!E15</f>
        <v>2.289</v>
      </c>
      <c r="BZ56" s="87">
        <f>SUM(BX56:BX61)*权重调整机制!K29</f>
        <v>2.289</v>
      </c>
      <c r="CA56" s="91" t="s">
        <v>929</v>
      </c>
      <c r="CB56" s="87">
        <v>0</v>
      </c>
      <c r="CC56" s="87">
        <f>SUM(CB56:CB61)*初始权重设定说明!E15</f>
        <v>0</v>
      </c>
      <c r="CD56" s="87">
        <f>SUM(CB56:CB61)*权重调整机制!K29</f>
        <v>0</v>
      </c>
      <c r="CE56" s="86" t="s">
        <v>942</v>
      </c>
      <c r="CF56" s="87">
        <v>0.85</v>
      </c>
      <c r="CG56" s="87">
        <f>SUM(CF56:CF61)*初始权重设定说明!E15</f>
        <v>0.833</v>
      </c>
      <c r="CH56" s="87">
        <f>SUM(CF56:CF61)*权重调整机制!K29</f>
        <v>0.833</v>
      </c>
      <c r="CI56" s="90" t="s">
        <v>944</v>
      </c>
      <c r="CJ56" s="87">
        <v>0</v>
      </c>
      <c r="CK56" s="87">
        <f>SUM(CJ56:CJ61)*初始权重设定说明!E15</f>
        <v>2.646</v>
      </c>
      <c r="CL56" s="87">
        <f>SUM(CJ56:CJ61)*权重调整机制!K29</f>
        <v>2.646</v>
      </c>
    </row>
    <row r="57" ht="101" customHeight="1" spans="1:90">
      <c r="A57" s="14"/>
      <c r="B57" s="14"/>
      <c r="C57" s="14"/>
      <c r="D57" s="14"/>
      <c r="E57" s="14"/>
      <c r="F57" s="14"/>
      <c r="G57" s="14"/>
      <c r="H57" s="14"/>
      <c r="I57" s="79" t="s">
        <v>607</v>
      </c>
      <c r="J57" s="75" t="s">
        <v>608</v>
      </c>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row>
    <row r="58" ht="263" customHeight="1" spans="1:90">
      <c r="A58" s="14"/>
      <c r="B58" s="14"/>
      <c r="C58" s="14"/>
      <c r="D58" s="14"/>
      <c r="E58" s="14"/>
      <c r="F58" s="15"/>
      <c r="G58" s="15"/>
      <c r="H58" s="15"/>
      <c r="I58" s="79" t="s">
        <v>609</v>
      </c>
      <c r="J58" s="79">
        <v>10</v>
      </c>
      <c r="K58" s="15"/>
      <c r="L58" s="15"/>
      <c r="M58" s="14"/>
      <c r="N58" s="14"/>
      <c r="O58" s="15"/>
      <c r="P58" s="15"/>
      <c r="Q58" s="14"/>
      <c r="R58" s="14"/>
      <c r="S58" s="15"/>
      <c r="T58" s="15"/>
      <c r="U58" s="14"/>
      <c r="V58" s="14"/>
      <c r="W58" s="15"/>
      <c r="X58" s="15"/>
      <c r="Y58" s="14"/>
      <c r="Z58" s="14"/>
      <c r="AA58" s="15"/>
      <c r="AB58" s="15"/>
      <c r="AC58" s="14"/>
      <c r="AD58" s="14"/>
      <c r="AE58" s="15"/>
      <c r="AF58" s="15"/>
      <c r="AG58" s="14"/>
      <c r="AH58" s="14"/>
      <c r="AI58" s="15"/>
      <c r="AJ58" s="15"/>
      <c r="AK58" s="14"/>
      <c r="AL58" s="14"/>
      <c r="AM58" s="15"/>
      <c r="AN58" s="15"/>
      <c r="AO58" s="14"/>
      <c r="AP58" s="14"/>
      <c r="AQ58" s="15"/>
      <c r="AR58" s="15"/>
      <c r="AS58" s="14"/>
      <c r="AT58" s="14"/>
      <c r="AU58" s="15"/>
      <c r="AV58" s="15"/>
      <c r="AW58" s="14"/>
      <c r="AX58" s="14"/>
      <c r="AY58" s="15"/>
      <c r="AZ58" s="15"/>
      <c r="BA58" s="14"/>
      <c r="BB58" s="14"/>
      <c r="BC58" s="15"/>
      <c r="BD58" s="15"/>
      <c r="BE58" s="14"/>
      <c r="BF58" s="14"/>
      <c r="BG58" s="15"/>
      <c r="BH58" s="15"/>
      <c r="BI58" s="14"/>
      <c r="BJ58" s="14"/>
      <c r="BK58" s="15"/>
      <c r="BL58" s="15"/>
      <c r="BM58" s="14"/>
      <c r="BN58" s="14"/>
      <c r="BO58" s="15"/>
      <c r="BP58" s="15"/>
      <c r="BQ58" s="14"/>
      <c r="BR58" s="14"/>
      <c r="BS58" s="15"/>
      <c r="BT58" s="15"/>
      <c r="BU58" s="14"/>
      <c r="BV58" s="14"/>
      <c r="BW58" s="15"/>
      <c r="BX58" s="15"/>
      <c r="BY58" s="14"/>
      <c r="BZ58" s="14"/>
      <c r="CA58" s="15"/>
      <c r="CB58" s="15"/>
      <c r="CC58" s="14"/>
      <c r="CD58" s="14"/>
      <c r="CE58" s="15"/>
      <c r="CF58" s="15"/>
      <c r="CG58" s="14"/>
      <c r="CH58" s="14"/>
      <c r="CI58" s="15"/>
      <c r="CJ58" s="15"/>
      <c r="CK58" s="14"/>
      <c r="CL58" s="14"/>
    </row>
    <row r="59" spans="1:90">
      <c r="A59" s="14"/>
      <c r="B59" s="14"/>
      <c r="C59" s="14"/>
      <c r="D59" s="14"/>
      <c r="E59" s="14"/>
      <c r="F59" s="80" t="s">
        <v>610</v>
      </c>
      <c r="G59" s="82"/>
      <c r="H59" s="75" t="s">
        <v>611</v>
      </c>
      <c r="I59" s="79" t="s">
        <v>618</v>
      </c>
      <c r="J59" s="79">
        <v>1</v>
      </c>
      <c r="K59" s="86" t="s">
        <v>945</v>
      </c>
      <c r="L59" s="87">
        <v>0</v>
      </c>
      <c r="M59" s="14"/>
      <c r="N59" s="14"/>
      <c r="O59" s="90" t="s">
        <v>596</v>
      </c>
      <c r="P59" s="87">
        <v>0</v>
      </c>
      <c r="Q59" s="14"/>
      <c r="R59" s="14"/>
      <c r="S59" s="86" t="s">
        <v>933</v>
      </c>
      <c r="T59" s="87">
        <v>0.65</v>
      </c>
      <c r="U59" s="14"/>
      <c r="V59" s="14"/>
      <c r="W59" s="90" t="s">
        <v>934</v>
      </c>
      <c r="X59" s="87">
        <v>0</v>
      </c>
      <c r="Y59" s="14"/>
      <c r="Z59" s="14"/>
      <c r="AA59" s="86" t="s">
        <v>946</v>
      </c>
      <c r="AB59" s="87">
        <v>2.49</v>
      </c>
      <c r="AC59" s="14"/>
      <c r="AD59" s="14"/>
      <c r="AE59" s="91" t="s">
        <v>919</v>
      </c>
      <c r="AF59" s="87">
        <v>0</v>
      </c>
      <c r="AG59" s="14"/>
      <c r="AH59" s="14"/>
      <c r="AI59" s="86" t="s">
        <v>947</v>
      </c>
      <c r="AJ59" s="87">
        <v>3.55</v>
      </c>
      <c r="AK59" s="14"/>
      <c r="AL59" s="14"/>
      <c r="AM59" s="86" t="s">
        <v>947</v>
      </c>
      <c r="AN59" s="87">
        <v>0.9</v>
      </c>
      <c r="AO59" s="14"/>
      <c r="AP59" s="14"/>
      <c r="AQ59" s="86" t="s">
        <v>948</v>
      </c>
      <c r="AR59" s="87">
        <v>2.14</v>
      </c>
      <c r="AS59" s="14"/>
      <c r="AT59" s="14"/>
      <c r="AU59" s="86" t="s">
        <v>938</v>
      </c>
      <c r="AV59" s="87">
        <v>7</v>
      </c>
      <c r="AW59" s="14"/>
      <c r="AX59" s="14"/>
      <c r="AY59" s="91" t="s">
        <v>596</v>
      </c>
      <c r="AZ59" s="87">
        <v>0</v>
      </c>
      <c r="BA59" s="14"/>
      <c r="BB59" s="14"/>
      <c r="BC59" s="86" t="s">
        <v>949</v>
      </c>
      <c r="BD59" s="87">
        <v>4.07</v>
      </c>
      <c r="BE59" s="14"/>
      <c r="BF59" s="14"/>
      <c r="BG59" s="86" t="s">
        <v>950</v>
      </c>
      <c r="BH59" s="87">
        <v>0</v>
      </c>
      <c r="BI59" s="14"/>
      <c r="BJ59" s="14"/>
      <c r="BK59" s="86" t="s">
        <v>951</v>
      </c>
      <c r="BL59" s="87">
        <v>1.62</v>
      </c>
      <c r="BM59" s="14"/>
      <c r="BN59" s="14"/>
      <c r="BO59" s="86" t="s">
        <v>952</v>
      </c>
      <c r="BP59" s="87">
        <v>2.19</v>
      </c>
      <c r="BQ59" s="14"/>
      <c r="BR59" s="14"/>
      <c r="BS59" s="91" t="s">
        <v>596</v>
      </c>
      <c r="BT59" s="87">
        <v>0</v>
      </c>
      <c r="BU59" s="14"/>
      <c r="BV59" s="14"/>
      <c r="BW59" s="86" t="s">
        <v>953</v>
      </c>
      <c r="BX59" s="87">
        <v>0.75</v>
      </c>
      <c r="BY59" s="14"/>
      <c r="BZ59" s="14"/>
      <c r="CA59" s="91" t="s">
        <v>929</v>
      </c>
      <c r="CB59" s="87">
        <v>0</v>
      </c>
      <c r="CC59" s="14"/>
      <c r="CD59" s="14"/>
      <c r="CE59" s="86" t="s">
        <v>952</v>
      </c>
      <c r="CF59" s="87">
        <v>0.34</v>
      </c>
      <c r="CG59" s="14"/>
      <c r="CH59" s="14"/>
      <c r="CI59" s="86" t="s">
        <v>949</v>
      </c>
      <c r="CJ59" s="87">
        <v>3.78</v>
      </c>
      <c r="CK59" s="14"/>
      <c r="CL59" s="14"/>
    </row>
    <row r="60" ht="84" customHeight="1" spans="1:90">
      <c r="A60" s="14"/>
      <c r="B60" s="14"/>
      <c r="C60" s="14"/>
      <c r="D60" s="14"/>
      <c r="E60" s="14"/>
      <c r="F60" s="14"/>
      <c r="G60" s="14"/>
      <c r="H60" s="14"/>
      <c r="I60" s="79" t="s">
        <v>613</v>
      </c>
      <c r="J60" s="75" t="s">
        <v>619</v>
      </c>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row>
    <row r="61" ht="182" customHeight="1" spans="1:90">
      <c r="A61" s="14"/>
      <c r="B61" s="14"/>
      <c r="C61" s="15"/>
      <c r="D61" s="15"/>
      <c r="E61" s="15"/>
      <c r="F61" s="15"/>
      <c r="G61" s="15"/>
      <c r="H61" s="15"/>
      <c r="I61" s="79" t="s">
        <v>615</v>
      </c>
      <c r="J61" s="79">
        <v>10</v>
      </c>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row>
    <row r="62" spans="1:90">
      <c r="A62" s="14"/>
      <c r="B62" s="14"/>
      <c r="C62" s="74" t="s">
        <v>261</v>
      </c>
      <c r="D62" s="75" t="s">
        <v>262</v>
      </c>
      <c r="E62" s="80" t="s">
        <v>601</v>
      </c>
      <c r="F62" s="80" t="s">
        <v>602</v>
      </c>
      <c r="G62" s="79"/>
      <c r="H62" s="75" t="s">
        <v>954</v>
      </c>
      <c r="I62" s="79" t="s">
        <v>604</v>
      </c>
      <c r="J62" s="79">
        <v>0</v>
      </c>
      <c r="K62" s="86" t="s">
        <v>932</v>
      </c>
      <c r="L62" s="87">
        <v>2.65</v>
      </c>
      <c r="M62" s="87">
        <f>SUM(L62:L67)*初始权重设定说明!E16</f>
        <v>3.843</v>
      </c>
      <c r="N62" s="93">
        <f>SUM(L62:L67)*权重调整机制!K30</f>
        <v>3.843</v>
      </c>
      <c r="O62" s="90" t="s">
        <v>596</v>
      </c>
      <c r="P62" s="87">
        <v>0</v>
      </c>
      <c r="Q62" s="87">
        <f>SUM(P62:P67)*初始权重设定说明!E16</f>
        <v>0</v>
      </c>
      <c r="R62" s="87">
        <f>SUM(P62:P67)*权重调整机制!K30</f>
        <v>0</v>
      </c>
      <c r="S62" s="86" t="s">
        <v>933</v>
      </c>
      <c r="T62" s="87">
        <v>2.68</v>
      </c>
      <c r="U62" s="87">
        <f>SUM(T62:T67)*初始权重设定说明!E16</f>
        <v>2.408</v>
      </c>
      <c r="V62" s="87">
        <f>SUM(T62:T67)*权重调整机制!K30</f>
        <v>2.408</v>
      </c>
      <c r="W62" s="90" t="s">
        <v>934</v>
      </c>
      <c r="X62" s="87">
        <v>0</v>
      </c>
      <c r="Y62" s="87">
        <f>SUM(X62:X67)*初始权重设定说明!E16</f>
        <v>0</v>
      </c>
      <c r="Z62" s="87">
        <f>SUM(X62:X67)*权重调整机制!K30</f>
        <v>0</v>
      </c>
      <c r="AA62" s="86" t="s">
        <v>935</v>
      </c>
      <c r="AB62" s="87">
        <v>3</v>
      </c>
      <c r="AC62" s="87">
        <f>SUM(AB62:AB67)*初始权重设定说明!E16</f>
        <v>4.312</v>
      </c>
      <c r="AD62" s="87">
        <f>SUM(AB62:AB67)*权重调整机制!K30</f>
        <v>4.312</v>
      </c>
      <c r="AE62" s="91" t="s">
        <v>919</v>
      </c>
      <c r="AF62" s="87">
        <v>0</v>
      </c>
      <c r="AG62" s="87">
        <f>SUM(AF62:AF67)*初始权重设定说明!E16</f>
        <v>0</v>
      </c>
      <c r="AH62" s="87">
        <f>SUM(AF62:AF67)*权重调整机制!K30</f>
        <v>0</v>
      </c>
      <c r="AI62" s="86" t="s">
        <v>936</v>
      </c>
      <c r="AJ62" s="87">
        <v>2.73</v>
      </c>
      <c r="AK62" s="87">
        <f>SUM(AJ62:AJ67)*初始权重设定说明!E16</f>
        <v>5.761</v>
      </c>
      <c r="AL62" s="87">
        <f>SUM(AJ62:AJ67)*权重调整机制!K30</f>
        <v>5.761</v>
      </c>
      <c r="AM62" s="86" t="s">
        <v>936</v>
      </c>
      <c r="AN62" s="87">
        <v>2.18</v>
      </c>
      <c r="AO62" s="87">
        <f>SUM(AN62:AN67)*初始权重设定说明!E16</f>
        <v>1.974</v>
      </c>
      <c r="AP62" s="87">
        <f>SUM(AN62:AN67)*权重调整机制!K30</f>
        <v>1.974</v>
      </c>
      <c r="AQ62" s="86" t="s">
        <v>937</v>
      </c>
      <c r="AR62" s="87">
        <v>2.41</v>
      </c>
      <c r="AS62" s="87">
        <f>SUM(AR62:AR67)*初始权重设定说明!E16</f>
        <v>3.864</v>
      </c>
      <c r="AT62" s="87">
        <f>SUM(AR62:AR67)*权重调整机制!K30</f>
        <v>3.864</v>
      </c>
      <c r="AU62" s="86" t="s">
        <v>938</v>
      </c>
      <c r="AV62" s="87">
        <v>2.8</v>
      </c>
      <c r="AW62" s="87">
        <f>SUM(AV62:AV67)*初始权重设定说明!E16</f>
        <v>4.725</v>
      </c>
      <c r="AX62" s="87">
        <f>SUM(AV62:AV67)*权重调整机制!K30</f>
        <v>4.725</v>
      </c>
      <c r="AY62" s="91" t="s">
        <v>596</v>
      </c>
      <c r="AZ62" s="87">
        <v>0</v>
      </c>
      <c r="BA62" s="87">
        <f>SUM(AZ62:AZ67)*初始权重设定说明!E16</f>
        <v>0</v>
      </c>
      <c r="BB62" s="87">
        <f>SUM(AZ62:AZ67)*权重调整机制!K30</f>
        <v>0</v>
      </c>
      <c r="BC62" s="86" t="s">
        <v>939</v>
      </c>
      <c r="BD62" s="87">
        <v>2.51</v>
      </c>
      <c r="BE62" s="87">
        <f>SUM(BD62:BD67)*初始权重设定说明!E16</f>
        <v>2.555</v>
      </c>
      <c r="BF62" s="87">
        <f>SUM(BD62:BD67)*权重调整机制!K30</f>
        <v>2.555</v>
      </c>
      <c r="BG62" s="86" t="s">
        <v>940</v>
      </c>
      <c r="BH62" s="87">
        <v>2.15</v>
      </c>
      <c r="BI62" s="87">
        <f>SUM(BH62:BH67)*初始权重设定说明!E16</f>
        <v>3.689</v>
      </c>
      <c r="BJ62" s="87">
        <f>SUM(BH62:BH67)*权重调整机制!K30</f>
        <v>3.689</v>
      </c>
      <c r="BK62" s="86" t="s">
        <v>941</v>
      </c>
      <c r="BL62" s="87">
        <v>2.58</v>
      </c>
      <c r="BM62" s="87">
        <f>SUM(BL62:BL67)*初始权重设定说明!E16</f>
        <v>2.849</v>
      </c>
      <c r="BN62" s="87">
        <f>SUM(BL62:BL67)*权重调整机制!K30</f>
        <v>2.849</v>
      </c>
      <c r="BO62" s="86" t="s">
        <v>942</v>
      </c>
      <c r="BP62" s="87">
        <v>1.89</v>
      </c>
      <c r="BQ62" s="87">
        <f>SUM(BP62:BP67)*初始权重设定说明!E16</f>
        <v>1.722</v>
      </c>
      <c r="BR62" s="87">
        <f>SUM(BP62:BP67)*权重调整机制!K30</f>
        <v>1.722</v>
      </c>
      <c r="BS62" s="91" t="s">
        <v>596</v>
      </c>
      <c r="BT62" s="87">
        <v>0</v>
      </c>
      <c r="BU62" s="87">
        <f>SUM(BT62:BT67)*初始权重设定说明!E16</f>
        <v>0</v>
      </c>
      <c r="BV62" s="87">
        <f>SUM(BT62:BT67)*权重调整机制!K30</f>
        <v>0</v>
      </c>
      <c r="BW62" s="86" t="s">
        <v>943</v>
      </c>
      <c r="BX62" s="87">
        <v>3</v>
      </c>
      <c r="BY62" s="87">
        <f>SUM(BX62:BX67)*初始权重设定说明!E16</f>
        <v>7</v>
      </c>
      <c r="BZ62" s="87">
        <f>SUM(BX62:BX67)*权重调整机制!K30</f>
        <v>7</v>
      </c>
      <c r="CA62" s="91" t="s">
        <v>929</v>
      </c>
      <c r="CB62" s="87">
        <v>0</v>
      </c>
      <c r="CC62" s="87">
        <f>SUM(CB62:CB67)*初始权重设定说明!E16</f>
        <v>0</v>
      </c>
      <c r="CD62" s="87">
        <f>SUM(CB62:CB67)*权重调整机制!K30</f>
        <v>0</v>
      </c>
      <c r="CE62" s="86" t="s">
        <v>942</v>
      </c>
      <c r="CF62" s="87">
        <v>0</v>
      </c>
      <c r="CG62" s="87">
        <f>SUM(CF62:CF67)*初始权重设定说明!E16</f>
        <v>0</v>
      </c>
      <c r="CH62" s="87">
        <f>SUM(CF62:CF67)*权重调整机制!K30</f>
        <v>0</v>
      </c>
      <c r="CI62" s="90" t="s">
        <v>944</v>
      </c>
      <c r="CJ62" s="87">
        <v>0</v>
      </c>
      <c r="CK62" s="87">
        <f>SUM(CJ62:CJ67)*初始权重设定说明!E16</f>
        <v>0</v>
      </c>
      <c r="CL62" s="87">
        <f>SUM(CJ62:CJ67)*权重调整机制!K30</f>
        <v>0</v>
      </c>
    </row>
    <row r="63" ht="101" customHeight="1" spans="1:90">
      <c r="A63" s="14"/>
      <c r="B63" s="14"/>
      <c r="C63" s="14"/>
      <c r="D63" s="14"/>
      <c r="E63" s="14"/>
      <c r="F63" s="14"/>
      <c r="G63" s="14"/>
      <c r="H63" s="14"/>
      <c r="I63" s="79" t="s">
        <v>607</v>
      </c>
      <c r="J63" s="75" t="s">
        <v>608</v>
      </c>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row>
    <row r="64" spans="1:90">
      <c r="A64" s="14"/>
      <c r="B64" s="14"/>
      <c r="C64" s="14"/>
      <c r="D64" s="14"/>
      <c r="E64" s="14"/>
      <c r="F64" s="15"/>
      <c r="G64" s="15"/>
      <c r="H64" s="15"/>
      <c r="I64" s="79" t="s">
        <v>609</v>
      </c>
      <c r="J64" s="79">
        <v>10</v>
      </c>
      <c r="K64" s="15"/>
      <c r="L64" s="15"/>
      <c r="M64" s="14"/>
      <c r="N64" s="14"/>
      <c r="O64" s="15"/>
      <c r="P64" s="15"/>
      <c r="Q64" s="14"/>
      <c r="R64" s="14"/>
      <c r="S64" s="15"/>
      <c r="T64" s="15"/>
      <c r="U64" s="14"/>
      <c r="V64" s="14"/>
      <c r="W64" s="15"/>
      <c r="X64" s="15"/>
      <c r="Y64" s="14"/>
      <c r="Z64" s="14"/>
      <c r="AA64" s="15"/>
      <c r="AB64" s="15"/>
      <c r="AC64" s="14"/>
      <c r="AD64" s="14"/>
      <c r="AE64" s="15"/>
      <c r="AF64" s="15"/>
      <c r="AG64" s="14"/>
      <c r="AH64" s="14"/>
      <c r="AI64" s="15"/>
      <c r="AJ64" s="15"/>
      <c r="AK64" s="14"/>
      <c r="AL64" s="14"/>
      <c r="AM64" s="15"/>
      <c r="AN64" s="15"/>
      <c r="AO64" s="14"/>
      <c r="AP64" s="14"/>
      <c r="AQ64" s="15"/>
      <c r="AR64" s="15"/>
      <c r="AS64" s="14"/>
      <c r="AT64" s="14"/>
      <c r="AU64" s="15"/>
      <c r="AV64" s="15"/>
      <c r="AW64" s="14"/>
      <c r="AX64" s="14"/>
      <c r="AY64" s="15"/>
      <c r="AZ64" s="15"/>
      <c r="BA64" s="14"/>
      <c r="BB64" s="14"/>
      <c r="BC64" s="15"/>
      <c r="BD64" s="15"/>
      <c r="BE64" s="14"/>
      <c r="BF64" s="14"/>
      <c r="BG64" s="15"/>
      <c r="BH64" s="15"/>
      <c r="BI64" s="14"/>
      <c r="BJ64" s="14"/>
      <c r="BK64" s="15"/>
      <c r="BL64" s="15"/>
      <c r="BM64" s="14"/>
      <c r="BN64" s="14"/>
      <c r="BO64" s="15"/>
      <c r="BP64" s="15"/>
      <c r="BQ64" s="14"/>
      <c r="BR64" s="14"/>
      <c r="BS64" s="15"/>
      <c r="BT64" s="15"/>
      <c r="BU64" s="14"/>
      <c r="BV64" s="14"/>
      <c r="BW64" s="15"/>
      <c r="BX64" s="15"/>
      <c r="BY64" s="14"/>
      <c r="BZ64" s="14"/>
      <c r="CA64" s="15"/>
      <c r="CB64" s="15"/>
      <c r="CC64" s="14"/>
      <c r="CD64" s="14"/>
      <c r="CE64" s="15"/>
      <c r="CF64" s="15"/>
      <c r="CG64" s="14"/>
      <c r="CH64" s="14"/>
      <c r="CI64" s="15"/>
      <c r="CJ64" s="15"/>
      <c r="CK64" s="14"/>
      <c r="CL64" s="14"/>
    </row>
    <row r="65" spans="1:90">
      <c r="A65" s="14"/>
      <c r="B65" s="14"/>
      <c r="C65" s="14"/>
      <c r="D65" s="14"/>
      <c r="E65" s="14"/>
      <c r="F65" s="80" t="s">
        <v>610</v>
      </c>
      <c r="G65" s="82"/>
      <c r="H65" s="75" t="s">
        <v>955</v>
      </c>
      <c r="I65" s="79" t="s">
        <v>618</v>
      </c>
      <c r="J65" s="79">
        <v>0</v>
      </c>
      <c r="K65" s="86" t="s">
        <v>945</v>
      </c>
      <c r="L65" s="87">
        <v>2.84</v>
      </c>
      <c r="M65" s="14"/>
      <c r="N65" s="14"/>
      <c r="O65" s="90" t="s">
        <v>596</v>
      </c>
      <c r="P65" s="87">
        <v>0</v>
      </c>
      <c r="Q65" s="14"/>
      <c r="R65" s="14"/>
      <c r="S65" s="86" t="s">
        <v>933</v>
      </c>
      <c r="T65" s="87">
        <v>0.76</v>
      </c>
      <c r="U65" s="14"/>
      <c r="V65" s="14"/>
      <c r="W65" s="90" t="s">
        <v>934</v>
      </c>
      <c r="X65" s="87">
        <v>0</v>
      </c>
      <c r="Y65" s="14"/>
      <c r="Z65" s="14"/>
      <c r="AA65" s="86" t="s">
        <v>946</v>
      </c>
      <c r="AB65" s="87">
        <v>3.16</v>
      </c>
      <c r="AC65" s="14"/>
      <c r="AD65" s="14"/>
      <c r="AE65" s="91" t="s">
        <v>919</v>
      </c>
      <c r="AF65" s="87">
        <v>0</v>
      </c>
      <c r="AG65" s="14"/>
      <c r="AH65" s="14"/>
      <c r="AI65" s="86" t="s">
        <v>947</v>
      </c>
      <c r="AJ65" s="87">
        <v>5.5</v>
      </c>
      <c r="AK65" s="14"/>
      <c r="AL65" s="14"/>
      <c r="AM65" s="86" t="s">
        <v>947</v>
      </c>
      <c r="AN65" s="87">
        <v>0.64</v>
      </c>
      <c r="AO65" s="14"/>
      <c r="AP65" s="14"/>
      <c r="AQ65" s="86" t="s">
        <v>948</v>
      </c>
      <c r="AR65" s="87">
        <v>3.11</v>
      </c>
      <c r="AS65" s="14"/>
      <c r="AT65" s="14"/>
      <c r="AU65" s="86" t="s">
        <v>938</v>
      </c>
      <c r="AV65" s="87">
        <v>3.95</v>
      </c>
      <c r="AW65" s="14"/>
      <c r="AX65" s="14"/>
      <c r="AY65" s="91" t="s">
        <v>596</v>
      </c>
      <c r="AZ65" s="87">
        <v>0</v>
      </c>
      <c r="BA65" s="14"/>
      <c r="BB65" s="14"/>
      <c r="BC65" s="86" t="s">
        <v>949</v>
      </c>
      <c r="BD65" s="87">
        <v>1.14</v>
      </c>
      <c r="BE65" s="14"/>
      <c r="BF65" s="14"/>
      <c r="BG65" s="86" t="s">
        <v>950</v>
      </c>
      <c r="BH65" s="87">
        <v>3.12</v>
      </c>
      <c r="BI65" s="14"/>
      <c r="BJ65" s="14"/>
      <c r="BK65" s="86" t="s">
        <v>951</v>
      </c>
      <c r="BL65" s="87">
        <v>1.49</v>
      </c>
      <c r="BM65" s="14"/>
      <c r="BN65" s="14"/>
      <c r="BO65" s="86" t="s">
        <v>952</v>
      </c>
      <c r="BP65" s="87">
        <v>0.57</v>
      </c>
      <c r="BQ65" s="14"/>
      <c r="BR65" s="14"/>
      <c r="BS65" s="91" t="s">
        <v>596</v>
      </c>
      <c r="BT65" s="87">
        <v>0</v>
      </c>
      <c r="BU65" s="14"/>
      <c r="BV65" s="14"/>
      <c r="BW65" s="86" t="s">
        <v>953</v>
      </c>
      <c r="BX65" s="87">
        <v>7</v>
      </c>
      <c r="BY65" s="14"/>
      <c r="BZ65" s="14"/>
      <c r="CA65" s="91" t="s">
        <v>929</v>
      </c>
      <c r="CB65" s="87">
        <v>0</v>
      </c>
      <c r="CC65" s="14"/>
      <c r="CD65" s="14"/>
      <c r="CE65" s="86" t="s">
        <v>952</v>
      </c>
      <c r="CF65" s="87">
        <v>0</v>
      </c>
      <c r="CG65" s="14"/>
      <c r="CH65" s="14"/>
      <c r="CI65" s="86" t="s">
        <v>949</v>
      </c>
      <c r="CJ65" s="87">
        <v>0</v>
      </c>
      <c r="CK65" s="14"/>
      <c r="CL65" s="14"/>
    </row>
    <row r="66" ht="84" customHeight="1" spans="1:90">
      <c r="A66" s="14"/>
      <c r="B66" s="14"/>
      <c r="C66" s="14"/>
      <c r="D66" s="14"/>
      <c r="E66" s="14"/>
      <c r="F66" s="14"/>
      <c r="G66" s="14"/>
      <c r="H66" s="14"/>
      <c r="I66" s="79" t="s">
        <v>613</v>
      </c>
      <c r="J66" s="75" t="s">
        <v>619</v>
      </c>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row>
    <row r="67" spans="1:90">
      <c r="A67" s="14"/>
      <c r="B67" s="15"/>
      <c r="C67" s="15"/>
      <c r="D67" s="15"/>
      <c r="E67" s="15"/>
      <c r="F67" s="15"/>
      <c r="G67" s="15"/>
      <c r="H67" s="15"/>
      <c r="I67" s="79" t="s">
        <v>615</v>
      </c>
      <c r="J67" s="79">
        <v>10</v>
      </c>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row>
    <row r="68" spans="1:90">
      <c r="A68" s="14"/>
      <c r="B68" s="80" t="s">
        <v>279</v>
      </c>
      <c r="C68" s="74" t="s">
        <v>280</v>
      </c>
      <c r="D68" s="75" t="s">
        <v>620</v>
      </c>
      <c r="E68" s="80" t="s">
        <v>601</v>
      </c>
      <c r="F68" s="80" t="s">
        <v>602</v>
      </c>
      <c r="G68" s="82"/>
      <c r="H68" s="75" t="s">
        <v>621</v>
      </c>
      <c r="I68" s="79" t="s">
        <v>604</v>
      </c>
      <c r="J68" s="79">
        <v>0</v>
      </c>
      <c r="K68" s="86" t="s">
        <v>956</v>
      </c>
      <c r="L68" s="87">
        <v>1.82</v>
      </c>
      <c r="M68" s="87">
        <f>SUM(L68:L73)*初始权重设定说明!E17</f>
        <v>0.392</v>
      </c>
      <c r="N68" s="93">
        <f>SUM(L68:L73)*权重调整机制!K31</f>
        <v>0.392</v>
      </c>
      <c r="O68" s="90" t="s">
        <v>957</v>
      </c>
      <c r="P68" s="91">
        <v>0</v>
      </c>
      <c r="Q68" s="91">
        <f>SUM(P68:P73)*初始权重设定说明!E17</f>
        <v>0</v>
      </c>
      <c r="R68" s="91">
        <f>SUM(P68:P73)*权重调整机制!K31</f>
        <v>0</v>
      </c>
      <c r="S68" s="86" t="s">
        <v>958</v>
      </c>
      <c r="T68" s="87">
        <v>1.28</v>
      </c>
      <c r="U68" s="96">
        <f>SUM(T68:T73)*初始权重设定说明!E17</f>
        <v>0.256</v>
      </c>
      <c r="V68" s="96">
        <f>SUM(T68:T73)*权重调整机制!K31</f>
        <v>0.256</v>
      </c>
      <c r="W68" s="90" t="s">
        <v>959</v>
      </c>
      <c r="X68" s="91">
        <v>0</v>
      </c>
      <c r="Y68" s="91">
        <f>SUM(X68:X73)*初始权重设定说明!E17</f>
        <v>0</v>
      </c>
      <c r="Z68" s="91">
        <f>SUM(X68:X73)*权重调整机制!K31</f>
        <v>0</v>
      </c>
      <c r="AA68" s="86" t="s">
        <v>960</v>
      </c>
      <c r="AB68" s="87">
        <v>0</v>
      </c>
      <c r="AC68" s="96">
        <f>SUM(AB68:AB73)*初始权重设定说明!E17</f>
        <v>0.024</v>
      </c>
      <c r="AD68" s="96">
        <f>SUM(AB68:AB73)*权重调整机制!K31</f>
        <v>0.024</v>
      </c>
      <c r="AE68" s="90" t="s">
        <v>961</v>
      </c>
      <c r="AF68" s="91">
        <v>0</v>
      </c>
      <c r="AG68" s="87">
        <f>SUM(AF68:AF73)*初始权重设定说明!E17</f>
        <v>0.032</v>
      </c>
      <c r="AH68" s="87">
        <f>SUM(AF68:AF73)*权重调整机制!K31</f>
        <v>0.032</v>
      </c>
      <c r="AI68" s="86" t="s">
        <v>962</v>
      </c>
      <c r="AJ68" s="87">
        <v>0.1</v>
      </c>
      <c r="AK68" s="96">
        <f>SUM(AJ68:AJ73)*初始权重设定说明!E17</f>
        <v>0.026</v>
      </c>
      <c r="AL68" s="96">
        <f>SUM(AJ68:AJ73)*权重调整机制!K31</f>
        <v>0.026</v>
      </c>
      <c r="AM68" s="86" t="s">
        <v>963</v>
      </c>
      <c r="AN68" s="87">
        <v>1.42</v>
      </c>
      <c r="AO68" s="96">
        <f>SUM(AN68:AN73)*初始权重设定说明!E17</f>
        <v>0.408</v>
      </c>
      <c r="AP68" s="96">
        <f>SUM(AN68:AN73)*权重调整机制!K31</f>
        <v>0.408</v>
      </c>
      <c r="AQ68" s="86" t="s">
        <v>964</v>
      </c>
      <c r="AR68" s="87">
        <v>0.79</v>
      </c>
      <c r="AS68" s="96">
        <f>SUM(AR68:AR73)*初始权重设定说明!E17</f>
        <v>1.256</v>
      </c>
      <c r="AT68" s="96">
        <f>SUM(AR68:AR73)*权重调整机制!K31</f>
        <v>1.256</v>
      </c>
      <c r="AU68" s="90" t="s">
        <v>965</v>
      </c>
      <c r="AV68" s="91">
        <v>0</v>
      </c>
      <c r="AW68" s="91">
        <f>SUM(AV68:AV73)*初始权重设定说明!E17</f>
        <v>0</v>
      </c>
      <c r="AX68" s="91">
        <f>SUM(AV68:AV73)*权重调整机制!K31</f>
        <v>0</v>
      </c>
      <c r="AY68" s="86" t="s">
        <v>966</v>
      </c>
      <c r="AZ68" s="87">
        <v>0.98</v>
      </c>
      <c r="BA68" s="96">
        <f>SUM(AZ68:AZ73)*初始权重设定说明!E17</f>
        <v>0.204</v>
      </c>
      <c r="BB68" s="96">
        <f>SUM(AZ68:AZ73)*权重调整机制!K31</f>
        <v>0.204</v>
      </c>
      <c r="BC68" s="86" t="s">
        <v>967</v>
      </c>
      <c r="BD68" s="87">
        <v>0.98</v>
      </c>
      <c r="BE68" s="96">
        <f>SUM(BD68:BD73)*初始权重设定说明!E17</f>
        <v>1.018</v>
      </c>
      <c r="BF68" s="96">
        <f>SUM(BD68:BD73)*权重调整机制!K31</f>
        <v>1.018</v>
      </c>
      <c r="BG68" s="96" t="s">
        <v>968</v>
      </c>
      <c r="BH68" s="96">
        <v>2.34</v>
      </c>
      <c r="BI68" s="96">
        <f>SUM(BH68:BH73)*初始权重设定说明!E17</f>
        <v>1.868</v>
      </c>
      <c r="BJ68" s="96">
        <f>SUM(BH68:BH73)*权重调整机制!K31</f>
        <v>1.868</v>
      </c>
      <c r="BK68" s="97" t="s">
        <v>969</v>
      </c>
      <c r="BL68" s="96">
        <v>0.14</v>
      </c>
      <c r="BM68" s="96">
        <f>SUM(BL68:BL73)*初始权重设定说明!E17</f>
        <v>1.428</v>
      </c>
      <c r="BN68" s="96">
        <f>SUM(BL68:BL73)*权重调整机制!K31</f>
        <v>1.428</v>
      </c>
      <c r="BO68" s="97" t="s">
        <v>970</v>
      </c>
      <c r="BP68" s="96">
        <v>0.25</v>
      </c>
      <c r="BQ68" s="96">
        <f>SUM(BP68:BP73)*初始权重设定说明!E17</f>
        <v>0.062</v>
      </c>
      <c r="BR68" s="96">
        <f>SUM(BP68:BP73)*权重调整机制!K31</f>
        <v>0.062</v>
      </c>
      <c r="BS68" s="90" t="s">
        <v>971</v>
      </c>
      <c r="BT68" s="91">
        <v>0</v>
      </c>
      <c r="BU68" s="87">
        <f>SUM(BT68:BT73)*初始权重设定说明!E17</f>
        <v>0.04</v>
      </c>
      <c r="BV68" s="87">
        <f>SUM(BT68:BT73)*权重调整机制!K31</f>
        <v>0.04</v>
      </c>
      <c r="BW68" s="97" t="s">
        <v>972</v>
      </c>
      <c r="BX68" s="96">
        <v>3</v>
      </c>
      <c r="BY68" s="96">
        <f>SUM(BX68:BX73)*初始权重设定说明!E17</f>
        <v>0.608</v>
      </c>
      <c r="BZ68" s="96">
        <f>SUM(BX68:BX73)*权重调整机制!K31</f>
        <v>0.608</v>
      </c>
      <c r="CA68" s="91" t="s">
        <v>973</v>
      </c>
      <c r="CB68" s="91">
        <v>0</v>
      </c>
      <c r="CC68" s="91">
        <f>SUM(CB68:CB73)*初始权重设定说明!E17</f>
        <v>0</v>
      </c>
      <c r="CD68" s="91">
        <f>SUM(CB68:CB73)*权重调整机制!K31</f>
        <v>0</v>
      </c>
      <c r="CE68" s="97" t="s">
        <v>974</v>
      </c>
      <c r="CF68" s="87">
        <v>2.88</v>
      </c>
      <c r="CG68" s="87">
        <f>SUM(CF68:CF73)*初始权重设定说明!E17</f>
        <v>0.578</v>
      </c>
      <c r="CH68" s="87">
        <f>SUM(CF68:CF73)*权重调整机制!K31</f>
        <v>0.578</v>
      </c>
      <c r="CI68" s="97" t="s">
        <v>975</v>
      </c>
      <c r="CJ68" s="87">
        <v>3</v>
      </c>
      <c r="CK68" s="87">
        <f>SUM(CJ68:CJ73)*初始权重设定说明!E17</f>
        <v>1.884</v>
      </c>
      <c r="CL68" s="87">
        <f>SUM(CJ68:CJ73)*权重调整机制!K31</f>
        <v>1.884</v>
      </c>
    </row>
    <row r="69" ht="101" customHeight="1" spans="1:90">
      <c r="A69" s="14"/>
      <c r="B69" s="14"/>
      <c r="C69" s="14"/>
      <c r="D69" s="14"/>
      <c r="E69" s="14"/>
      <c r="F69" s="14"/>
      <c r="G69" s="14"/>
      <c r="H69" s="14"/>
      <c r="I69" s="79" t="s">
        <v>607</v>
      </c>
      <c r="J69" s="75" t="s">
        <v>608</v>
      </c>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row>
    <row r="70" spans="1:90">
      <c r="A70" s="14"/>
      <c r="B70" s="14"/>
      <c r="C70" s="14"/>
      <c r="D70" s="14"/>
      <c r="E70" s="14"/>
      <c r="F70" s="15"/>
      <c r="G70" s="15"/>
      <c r="H70" s="15"/>
      <c r="I70" s="79" t="s">
        <v>609</v>
      </c>
      <c r="J70" s="79">
        <v>10</v>
      </c>
      <c r="K70" s="15"/>
      <c r="L70" s="15"/>
      <c r="M70" s="14"/>
      <c r="N70" s="14"/>
      <c r="O70" s="15"/>
      <c r="P70" s="15"/>
      <c r="Q70" s="14"/>
      <c r="R70" s="14"/>
      <c r="S70" s="15"/>
      <c r="T70" s="15"/>
      <c r="U70" s="14"/>
      <c r="V70" s="14"/>
      <c r="W70" s="15"/>
      <c r="X70" s="15"/>
      <c r="Y70" s="14"/>
      <c r="Z70" s="14"/>
      <c r="AA70" s="15"/>
      <c r="AB70" s="15"/>
      <c r="AC70" s="14"/>
      <c r="AD70" s="14"/>
      <c r="AE70" s="15"/>
      <c r="AF70" s="15"/>
      <c r="AG70" s="14"/>
      <c r="AH70" s="14"/>
      <c r="AI70" s="15"/>
      <c r="AJ70" s="15"/>
      <c r="AK70" s="14"/>
      <c r="AL70" s="14"/>
      <c r="AM70" s="15"/>
      <c r="AN70" s="15"/>
      <c r="AO70" s="14"/>
      <c r="AP70" s="14"/>
      <c r="AQ70" s="15"/>
      <c r="AR70" s="15"/>
      <c r="AS70" s="14"/>
      <c r="AT70" s="14"/>
      <c r="AU70" s="15"/>
      <c r="AV70" s="15"/>
      <c r="AW70" s="14"/>
      <c r="AX70" s="14"/>
      <c r="AY70" s="15"/>
      <c r="AZ70" s="15"/>
      <c r="BA70" s="14"/>
      <c r="BB70" s="14"/>
      <c r="BC70" s="15"/>
      <c r="BD70" s="15"/>
      <c r="BE70" s="14"/>
      <c r="BF70" s="14"/>
      <c r="BG70" s="15"/>
      <c r="BH70" s="15"/>
      <c r="BI70" s="14"/>
      <c r="BJ70" s="14"/>
      <c r="BK70" s="15"/>
      <c r="BL70" s="15"/>
      <c r="BM70" s="14"/>
      <c r="BN70" s="14"/>
      <c r="BO70" s="15"/>
      <c r="BP70" s="15"/>
      <c r="BQ70" s="14"/>
      <c r="BR70" s="14"/>
      <c r="BS70" s="15"/>
      <c r="BT70" s="15"/>
      <c r="BU70" s="14"/>
      <c r="BV70" s="14"/>
      <c r="BW70" s="15"/>
      <c r="BX70" s="15"/>
      <c r="BY70" s="14"/>
      <c r="BZ70" s="14"/>
      <c r="CA70" s="15"/>
      <c r="CB70" s="15"/>
      <c r="CC70" s="14"/>
      <c r="CD70" s="14"/>
      <c r="CE70" s="15"/>
      <c r="CF70" s="15"/>
      <c r="CG70" s="14"/>
      <c r="CH70" s="14"/>
      <c r="CI70" s="15"/>
      <c r="CJ70" s="15"/>
      <c r="CK70" s="14"/>
      <c r="CL70" s="14"/>
    </row>
    <row r="71" spans="1:90">
      <c r="A71" s="14"/>
      <c r="B71" s="14"/>
      <c r="C71" s="14"/>
      <c r="D71" s="14"/>
      <c r="E71" s="14"/>
      <c r="F71" s="80" t="s">
        <v>610</v>
      </c>
      <c r="G71" s="75"/>
      <c r="H71" s="75" t="s">
        <v>976</v>
      </c>
      <c r="I71" s="79" t="s">
        <v>618</v>
      </c>
      <c r="J71" s="79">
        <v>0</v>
      </c>
      <c r="K71" s="86" t="s">
        <v>977</v>
      </c>
      <c r="L71" s="87">
        <v>0.14</v>
      </c>
      <c r="M71" s="14"/>
      <c r="N71" s="14"/>
      <c r="O71" s="90" t="s">
        <v>957</v>
      </c>
      <c r="P71" s="91">
        <v>0</v>
      </c>
      <c r="Q71" s="14"/>
      <c r="R71" s="14"/>
      <c r="S71" s="86" t="s">
        <v>978</v>
      </c>
      <c r="T71" s="87">
        <v>0</v>
      </c>
      <c r="U71" s="14"/>
      <c r="V71" s="14"/>
      <c r="W71" s="90" t="s">
        <v>959</v>
      </c>
      <c r="X71" s="91">
        <v>0</v>
      </c>
      <c r="Y71" s="14"/>
      <c r="Z71" s="14"/>
      <c r="AA71" s="86" t="s">
        <v>979</v>
      </c>
      <c r="AB71" s="87">
        <v>0.12</v>
      </c>
      <c r="AC71" s="14"/>
      <c r="AD71" s="14"/>
      <c r="AE71" s="86" t="s">
        <v>980</v>
      </c>
      <c r="AF71" s="87">
        <v>0.16</v>
      </c>
      <c r="AG71" s="14"/>
      <c r="AH71" s="14"/>
      <c r="AI71" s="86" t="s">
        <v>981</v>
      </c>
      <c r="AJ71" s="87">
        <v>0.03</v>
      </c>
      <c r="AK71" s="14"/>
      <c r="AL71" s="14"/>
      <c r="AM71" s="86" t="s">
        <v>982</v>
      </c>
      <c r="AN71" s="87">
        <v>0.62</v>
      </c>
      <c r="AO71" s="14"/>
      <c r="AP71" s="14"/>
      <c r="AQ71" s="86" t="s">
        <v>983</v>
      </c>
      <c r="AR71" s="87">
        <v>5.49</v>
      </c>
      <c r="AS71" s="14"/>
      <c r="AT71" s="14"/>
      <c r="AU71" s="90" t="s">
        <v>965</v>
      </c>
      <c r="AV71" s="91">
        <v>0</v>
      </c>
      <c r="AW71" s="14"/>
      <c r="AX71" s="14"/>
      <c r="AY71" s="86" t="s">
        <v>984</v>
      </c>
      <c r="AZ71" s="87">
        <v>0.04</v>
      </c>
      <c r="BA71" s="14"/>
      <c r="BB71" s="14"/>
      <c r="BC71" s="86" t="s">
        <v>985</v>
      </c>
      <c r="BD71" s="87">
        <v>4.11</v>
      </c>
      <c r="BE71" s="14"/>
      <c r="BF71" s="14"/>
      <c r="BG71" s="96" t="s">
        <v>986</v>
      </c>
      <c r="BH71" s="96">
        <v>7</v>
      </c>
      <c r="BI71" s="14"/>
      <c r="BJ71" s="14"/>
      <c r="BK71" s="97" t="s">
        <v>987</v>
      </c>
      <c r="BL71" s="96">
        <v>7</v>
      </c>
      <c r="BM71" s="14"/>
      <c r="BN71" s="14"/>
      <c r="BO71" s="97" t="s">
        <v>988</v>
      </c>
      <c r="BP71" s="96">
        <v>0.06</v>
      </c>
      <c r="BQ71" s="14"/>
      <c r="BR71" s="14"/>
      <c r="BS71" s="97" t="s">
        <v>989</v>
      </c>
      <c r="BT71" s="96">
        <v>0.2</v>
      </c>
      <c r="BU71" s="14"/>
      <c r="BV71" s="14"/>
      <c r="BW71" s="97" t="s">
        <v>990</v>
      </c>
      <c r="BX71" s="96">
        <v>0.04</v>
      </c>
      <c r="BY71" s="14"/>
      <c r="BZ71" s="14"/>
      <c r="CA71" s="91" t="s">
        <v>973</v>
      </c>
      <c r="CB71" s="91">
        <v>0</v>
      </c>
      <c r="CC71" s="14"/>
      <c r="CD71" s="14"/>
      <c r="CE71" s="97" t="s">
        <v>991</v>
      </c>
      <c r="CF71" s="87">
        <v>0.01</v>
      </c>
      <c r="CG71" s="14"/>
      <c r="CH71" s="14"/>
      <c r="CI71" s="97" t="s">
        <v>992</v>
      </c>
      <c r="CJ71" s="87">
        <v>6.42</v>
      </c>
      <c r="CK71" s="14"/>
      <c r="CL71" s="14"/>
    </row>
    <row r="72" ht="84" customHeight="1" spans="1:90">
      <c r="A72" s="14"/>
      <c r="B72" s="14"/>
      <c r="C72" s="14"/>
      <c r="D72" s="14"/>
      <c r="E72" s="14"/>
      <c r="F72" s="14"/>
      <c r="G72" s="14"/>
      <c r="H72" s="14"/>
      <c r="I72" s="79" t="s">
        <v>613</v>
      </c>
      <c r="J72" s="75" t="s">
        <v>619</v>
      </c>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row>
    <row r="73" spans="1:90">
      <c r="A73" s="14"/>
      <c r="B73" s="14"/>
      <c r="C73" s="14"/>
      <c r="D73" s="15"/>
      <c r="E73" s="15"/>
      <c r="F73" s="15"/>
      <c r="G73" s="15"/>
      <c r="H73" s="15"/>
      <c r="I73" s="79" t="s">
        <v>615</v>
      </c>
      <c r="J73" s="79">
        <v>10</v>
      </c>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row>
    <row r="74" spans="1:90">
      <c r="A74" s="14"/>
      <c r="B74" s="14"/>
      <c r="C74" s="14"/>
      <c r="D74" s="75" t="s">
        <v>291</v>
      </c>
      <c r="E74" s="80" t="s">
        <v>601</v>
      </c>
      <c r="F74" s="80" t="s">
        <v>602</v>
      </c>
      <c r="G74" s="82"/>
      <c r="H74" s="75" t="s">
        <v>624</v>
      </c>
      <c r="I74" s="79" t="s">
        <v>604</v>
      </c>
      <c r="J74" s="79">
        <v>0</v>
      </c>
      <c r="K74" s="86" t="s">
        <v>993</v>
      </c>
      <c r="L74" s="87">
        <v>2.3</v>
      </c>
      <c r="M74" s="87">
        <f>SUM(L74:L79)*初始权重设定说明!E18</f>
        <v>0.672</v>
      </c>
      <c r="N74" s="93">
        <f>SUM(L74:L79)*权重调整机制!K32</f>
        <v>0.672</v>
      </c>
      <c r="O74" s="90" t="s">
        <v>994</v>
      </c>
      <c r="P74" s="91">
        <v>0</v>
      </c>
      <c r="Q74" s="91">
        <f>SUM(P74:P79)*初始权重设定说明!E18</f>
        <v>0</v>
      </c>
      <c r="R74" s="91">
        <f>SUM(P74:P79)*权重调整机制!K32</f>
        <v>0</v>
      </c>
      <c r="S74" s="90" t="s">
        <v>995</v>
      </c>
      <c r="T74" s="91">
        <v>0</v>
      </c>
      <c r="U74" s="91">
        <f>SUM(T74:T79)*初始权重设定说明!E18</f>
        <v>0.054</v>
      </c>
      <c r="V74" s="91">
        <f>SUM(T74:T79)*权重调整机制!K32</f>
        <v>0.054</v>
      </c>
      <c r="W74" s="90" t="s">
        <v>959</v>
      </c>
      <c r="X74" s="91">
        <v>0</v>
      </c>
      <c r="Y74" s="91">
        <f>SUM(X74:X79)*初始权重设定说明!E18</f>
        <v>0</v>
      </c>
      <c r="Z74" s="91">
        <f>SUM(X74:X79)*权重调整机制!K32</f>
        <v>0</v>
      </c>
      <c r="AA74" s="86" t="s">
        <v>996</v>
      </c>
      <c r="AB74" s="87">
        <v>3</v>
      </c>
      <c r="AC74" s="87">
        <f>SUM(AB74:AB79)*初始权重设定说明!E18</f>
        <v>0.642</v>
      </c>
      <c r="AD74" s="87">
        <f>SUM(AB74:AB79)*权重调整机制!K32</f>
        <v>0.642</v>
      </c>
      <c r="AE74" s="86" t="s">
        <v>997</v>
      </c>
      <c r="AF74" s="87">
        <v>0.78</v>
      </c>
      <c r="AG74" s="87">
        <f>SUM(AF74:AF79)*初始权重设定说明!E18</f>
        <v>0.324</v>
      </c>
      <c r="AH74" s="87">
        <f>SUM(AF74:AF79)*权重调整机制!K32</f>
        <v>0.324</v>
      </c>
      <c r="AI74" s="86" t="s">
        <v>998</v>
      </c>
      <c r="AJ74" s="87">
        <v>0.02</v>
      </c>
      <c r="AK74" s="87">
        <f>SUM(AJ74:AJ79)*初始权重设定说明!E18</f>
        <v>0.06</v>
      </c>
      <c r="AL74" s="87">
        <f>SUM(AJ74:AJ79)*权重调整机制!K32</f>
        <v>0.06</v>
      </c>
      <c r="AM74" s="86" t="s">
        <v>999</v>
      </c>
      <c r="AN74" s="87">
        <v>0.21</v>
      </c>
      <c r="AO74" s="87">
        <f>SUM(AN74:AN79)*初始权重设定说明!E18</f>
        <v>0.116</v>
      </c>
      <c r="AP74" s="87">
        <f>SUM(AN74:AN79)*权重调整机制!K32</f>
        <v>0.116</v>
      </c>
      <c r="AQ74" s="90" t="s">
        <v>1000</v>
      </c>
      <c r="AR74" s="91">
        <v>0</v>
      </c>
      <c r="AS74" s="91">
        <f>SUM(AR74:AR79)*初始权重设定说明!E18</f>
        <v>0</v>
      </c>
      <c r="AT74" s="91">
        <f>SUM(AR74:AR79)*权重调整机制!K32</f>
        <v>0</v>
      </c>
      <c r="AU74" s="90" t="s">
        <v>1001</v>
      </c>
      <c r="AV74" s="91">
        <v>0</v>
      </c>
      <c r="AW74" s="91">
        <f>SUM(AV74:AV79)*初始权重设定说明!E18</f>
        <v>0</v>
      </c>
      <c r="AX74" s="91">
        <f>SUM(AV74:AV79)*权重调整机制!K32</f>
        <v>0</v>
      </c>
      <c r="AY74" s="90" t="s">
        <v>1002</v>
      </c>
      <c r="AZ74" s="91">
        <v>0</v>
      </c>
      <c r="BA74" s="91">
        <f>SUM(AZ74:AZ79)*初始权重设定说明!E18</f>
        <v>0</v>
      </c>
      <c r="BB74" s="91">
        <f>SUM(AZ74:AZ79)*权重调整机制!K32</f>
        <v>0</v>
      </c>
      <c r="BC74" s="90" t="s">
        <v>1003</v>
      </c>
      <c r="BD74" s="91">
        <v>0</v>
      </c>
      <c r="BE74" s="91">
        <f>SUM(BD74:BD79)*初始权重设定说明!E18</f>
        <v>0</v>
      </c>
      <c r="BF74" s="91">
        <f>SUM(BD74:BD79)*权重调整机制!K32</f>
        <v>0</v>
      </c>
      <c r="BG74" s="96" t="s">
        <v>1004</v>
      </c>
      <c r="BH74" s="87">
        <v>0</v>
      </c>
      <c r="BI74" s="87">
        <f>SUM(BH74:BH79)*初始权重设定说明!E18</f>
        <v>1.4</v>
      </c>
      <c r="BJ74" s="87">
        <f>SUM(BH74:BH79)*权重调整机制!K32</f>
        <v>1.4</v>
      </c>
      <c r="BK74" s="97" t="s">
        <v>1005</v>
      </c>
      <c r="BL74" s="87">
        <v>0.21</v>
      </c>
      <c r="BM74" s="87">
        <f>SUM(BL74:BL79)*初始权重设定说明!E18</f>
        <v>1.04</v>
      </c>
      <c r="BN74" s="87">
        <f>SUM(BL74:BL79)*权重调整机制!K32</f>
        <v>1.04</v>
      </c>
      <c r="BO74" s="91" t="s">
        <v>1006</v>
      </c>
      <c r="BP74" s="91">
        <v>0</v>
      </c>
      <c r="BQ74" s="91">
        <f>SUM(BP74:BP79)*初始权重设定说明!E18</f>
        <v>0</v>
      </c>
      <c r="BR74" s="91">
        <f>SUM(BP74:BP79)*权重调整机制!K32</f>
        <v>0</v>
      </c>
      <c r="BS74" s="91" t="s">
        <v>1006</v>
      </c>
      <c r="BT74" s="91">
        <v>0</v>
      </c>
      <c r="BU74" s="91">
        <f>SUM(BT74:BT79)*初始权重设定说明!E18</f>
        <v>0</v>
      </c>
      <c r="BV74" s="91">
        <f>SUM(BT74:BT79)*权重调整机制!K32</f>
        <v>0</v>
      </c>
      <c r="BW74" s="97" t="s">
        <v>1007</v>
      </c>
      <c r="BX74" s="87">
        <v>0.14</v>
      </c>
      <c r="BY74" s="87">
        <f>SUM(BX74:BX79)*初始权重设定说明!E18</f>
        <v>0.252</v>
      </c>
      <c r="BZ74" s="87">
        <f>SUM(BX74:BX79)*权重调整机制!K32</f>
        <v>0.252</v>
      </c>
      <c r="CA74" s="97" t="s">
        <v>1008</v>
      </c>
      <c r="CB74" s="87">
        <v>0.11</v>
      </c>
      <c r="CC74" s="87">
        <f>SUM(CB74:CB79)*初始权重设定说明!E18</f>
        <v>1.422</v>
      </c>
      <c r="CD74" s="87">
        <f>SUM(CB74:CB79)*权重调整机制!K32</f>
        <v>1.422</v>
      </c>
      <c r="CE74" s="97" t="s">
        <v>1009</v>
      </c>
      <c r="CF74" s="87">
        <v>3</v>
      </c>
      <c r="CG74" s="87">
        <f>SUM(CF74:CF79)*初始权重设定说明!E18</f>
        <v>0.6</v>
      </c>
      <c r="CH74" s="87">
        <f>SUM(CF74:CF79)*权重调整机制!K32</f>
        <v>0.6</v>
      </c>
      <c r="CI74" s="90" t="s">
        <v>1010</v>
      </c>
      <c r="CJ74" s="87">
        <v>0</v>
      </c>
      <c r="CK74" s="87">
        <f>SUM(CJ74:CJ79)*初始权重设定说明!E18</f>
        <v>0.774</v>
      </c>
      <c r="CL74" s="87">
        <f>SUM(CJ74:CJ79)*权重调整机制!K32</f>
        <v>0.774</v>
      </c>
    </row>
    <row r="75" ht="101" customHeight="1" spans="1:90">
      <c r="A75" s="14"/>
      <c r="B75" s="14"/>
      <c r="C75" s="14"/>
      <c r="D75" s="14"/>
      <c r="E75" s="14"/>
      <c r="F75" s="14"/>
      <c r="G75" s="14"/>
      <c r="H75" s="14"/>
      <c r="I75" s="79" t="s">
        <v>607</v>
      </c>
      <c r="J75" s="75" t="s">
        <v>608</v>
      </c>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row>
    <row r="76" spans="1:90">
      <c r="A76" s="14"/>
      <c r="B76" s="14"/>
      <c r="C76" s="14"/>
      <c r="D76" s="14"/>
      <c r="E76" s="14"/>
      <c r="F76" s="15"/>
      <c r="G76" s="15"/>
      <c r="H76" s="15"/>
      <c r="I76" s="79" t="s">
        <v>609</v>
      </c>
      <c r="J76" s="79">
        <v>10</v>
      </c>
      <c r="K76" s="15"/>
      <c r="L76" s="15"/>
      <c r="M76" s="14"/>
      <c r="N76" s="14"/>
      <c r="O76" s="15"/>
      <c r="P76" s="15"/>
      <c r="Q76" s="14"/>
      <c r="R76" s="14"/>
      <c r="S76" s="15"/>
      <c r="T76" s="15"/>
      <c r="U76" s="14"/>
      <c r="V76" s="14"/>
      <c r="W76" s="15"/>
      <c r="X76" s="15"/>
      <c r="Y76" s="14"/>
      <c r="Z76" s="14"/>
      <c r="AA76" s="15"/>
      <c r="AB76" s="15"/>
      <c r="AC76" s="14"/>
      <c r="AD76" s="14"/>
      <c r="AE76" s="15"/>
      <c r="AF76" s="15"/>
      <c r="AG76" s="14"/>
      <c r="AH76" s="14"/>
      <c r="AI76" s="15"/>
      <c r="AJ76" s="15"/>
      <c r="AK76" s="14"/>
      <c r="AL76" s="14"/>
      <c r="AM76" s="15"/>
      <c r="AN76" s="15"/>
      <c r="AO76" s="14"/>
      <c r="AP76" s="14"/>
      <c r="AQ76" s="15"/>
      <c r="AR76" s="15"/>
      <c r="AS76" s="14"/>
      <c r="AT76" s="14"/>
      <c r="AU76" s="15"/>
      <c r="AV76" s="15"/>
      <c r="AW76" s="14"/>
      <c r="AX76" s="14"/>
      <c r="AY76" s="15"/>
      <c r="AZ76" s="15"/>
      <c r="BA76" s="14"/>
      <c r="BB76" s="14"/>
      <c r="BC76" s="15"/>
      <c r="BD76" s="15"/>
      <c r="BE76" s="14"/>
      <c r="BF76" s="14"/>
      <c r="BG76" s="15"/>
      <c r="BH76" s="15"/>
      <c r="BI76" s="14"/>
      <c r="BJ76" s="14"/>
      <c r="BK76" s="15"/>
      <c r="BL76" s="15"/>
      <c r="BM76" s="14"/>
      <c r="BN76" s="14"/>
      <c r="BO76" s="15"/>
      <c r="BP76" s="15"/>
      <c r="BQ76" s="14"/>
      <c r="BR76" s="14"/>
      <c r="BS76" s="15"/>
      <c r="BT76" s="15"/>
      <c r="BU76" s="14"/>
      <c r="BV76" s="14"/>
      <c r="BW76" s="15"/>
      <c r="BX76" s="15"/>
      <c r="BY76" s="14"/>
      <c r="BZ76" s="14"/>
      <c r="CA76" s="15"/>
      <c r="CB76" s="15"/>
      <c r="CC76" s="14"/>
      <c r="CD76" s="14"/>
      <c r="CE76" s="15"/>
      <c r="CF76" s="15"/>
      <c r="CG76" s="14"/>
      <c r="CH76" s="14"/>
      <c r="CI76" s="15"/>
      <c r="CJ76" s="15"/>
      <c r="CK76" s="14"/>
      <c r="CL76" s="14"/>
    </row>
    <row r="77" spans="1:90">
      <c r="A77" s="14"/>
      <c r="B77" s="14"/>
      <c r="C77" s="14"/>
      <c r="D77" s="14"/>
      <c r="E77" s="14"/>
      <c r="F77" s="80" t="s">
        <v>610</v>
      </c>
      <c r="G77" s="75"/>
      <c r="H77" s="75" t="s">
        <v>625</v>
      </c>
      <c r="I77" s="79" t="s">
        <v>618</v>
      </c>
      <c r="J77" s="79">
        <v>0</v>
      </c>
      <c r="K77" s="86" t="s">
        <v>1011</v>
      </c>
      <c r="L77" s="87">
        <v>1.06</v>
      </c>
      <c r="M77" s="14"/>
      <c r="N77" s="14"/>
      <c r="O77" s="90" t="s">
        <v>994</v>
      </c>
      <c r="P77" s="91">
        <v>0</v>
      </c>
      <c r="Q77" s="14"/>
      <c r="R77" s="14"/>
      <c r="S77" s="86" t="s">
        <v>1012</v>
      </c>
      <c r="T77" s="87">
        <v>0.27</v>
      </c>
      <c r="U77" s="14"/>
      <c r="V77" s="14"/>
      <c r="W77" s="90" t="s">
        <v>959</v>
      </c>
      <c r="X77" s="91">
        <v>0</v>
      </c>
      <c r="Y77" s="14"/>
      <c r="Z77" s="14"/>
      <c r="AA77" s="86" t="s">
        <v>1013</v>
      </c>
      <c r="AB77" s="87">
        <v>0.21</v>
      </c>
      <c r="AC77" s="14"/>
      <c r="AD77" s="14"/>
      <c r="AE77" s="86" t="s">
        <v>1014</v>
      </c>
      <c r="AF77" s="87">
        <v>0.84</v>
      </c>
      <c r="AG77" s="14"/>
      <c r="AH77" s="14"/>
      <c r="AI77" s="86" t="s">
        <v>1015</v>
      </c>
      <c r="AJ77" s="87">
        <v>0.28</v>
      </c>
      <c r="AK77" s="14"/>
      <c r="AL77" s="14"/>
      <c r="AM77" s="86" t="s">
        <v>1016</v>
      </c>
      <c r="AN77" s="87">
        <v>0.37</v>
      </c>
      <c r="AO77" s="14"/>
      <c r="AP77" s="14"/>
      <c r="AQ77" s="90" t="s">
        <v>1000</v>
      </c>
      <c r="AR77" s="91">
        <v>0</v>
      </c>
      <c r="AS77" s="14"/>
      <c r="AT77" s="14"/>
      <c r="AU77" s="90" t="s">
        <v>1001</v>
      </c>
      <c r="AV77" s="91">
        <v>0</v>
      </c>
      <c r="AW77" s="14"/>
      <c r="AX77" s="14"/>
      <c r="AY77" s="90" t="s">
        <v>1002</v>
      </c>
      <c r="AZ77" s="91">
        <v>0</v>
      </c>
      <c r="BA77" s="14"/>
      <c r="BB77" s="14"/>
      <c r="BC77" s="90" t="s">
        <v>1003</v>
      </c>
      <c r="BD77" s="91">
        <v>0</v>
      </c>
      <c r="BE77" s="14"/>
      <c r="BF77" s="14"/>
      <c r="BG77" s="96" t="s">
        <v>1017</v>
      </c>
      <c r="BH77" s="87">
        <v>7</v>
      </c>
      <c r="BI77" s="14"/>
      <c r="BJ77" s="14"/>
      <c r="BK77" s="97" t="s">
        <v>1018</v>
      </c>
      <c r="BL77" s="87">
        <v>4.99</v>
      </c>
      <c r="BM77" s="14"/>
      <c r="BN77" s="14"/>
      <c r="BO77" s="91" t="s">
        <v>1006</v>
      </c>
      <c r="BP77" s="91">
        <v>0</v>
      </c>
      <c r="BQ77" s="14"/>
      <c r="BR77" s="14"/>
      <c r="BS77" s="91" t="s">
        <v>1006</v>
      </c>
      <c r="BT77" s="91">
        <v>0</v>
      </c>
      <c r="BU77" s="14"/>
      <c r="BV77" s="14"/>
      <c r="BW77" s="97" t="s">
        <v>1019</v>
      </c>
      <c r="BX77" s="87">
        <v>1.12</v>
      </c>
      <c r="BY77" s="14"/>
      <c r="BZ77" s="14"/>
      <c r="CA77" s="97" t="s">
        <v>1020</v>
      </c>
      <c r="CB77" s="87">
        <v>7</v>
      </c>
      <c r="CC77" s="14"/>
      <c r="CD77" s="14"/>
      <c r="CE77" s="97" t="s">
        <v>1021</v>
      </c>
      <c r="CF77" s="87">
        <v>0</v>
      </c>
      <c r="CG77" s="14"/>
      <c r="CH77" s="14"/>
      <c r="CI77" s="97" t="s">
        <v>1022</v>
      </c>
      <c r="CJ77" s="87">
        <v>3.87</v>
      </c>
      <c r="CK77" s="14"/>
      <c r="CL77" s="14"/>
    </row>
    <row r="78" ht="84" customHeight="1" spans="1:90">
      <c r="A78" s="14"/>
      <c r="B78" s="14"/>
      <c r="C78" s="14"/>
      <c r="D78" s="14"/>
      <c r="E78" s="14"/>
      <c r="F78" s="14"/>
      <c r="G78" s="14"/>
      <c r="H78" s="14"/>
      <c r="I78" s="79" t="s">
        <v>613</v>
      </c>
      <c r="J78" s="75" t="s">
        <v>619</v>
      </c>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row>
    <row r="79" spans="1:90">
      <c r="A79" s="14"/>
      <c r="B79" s="15"/>
      <c r="C79" s="15"/>
      <c r="D79" s="15"/>
      <c r="E79" s="15"/>
      <c r="F79" s="15"/>
      <c r="G79" s="15"/>
      <c r="H79" s="15"/>
      <c r="I79" s="79" t="s">
        <v>615</v>
      </c>
      <c r="J79" s="79">
        <v>10</v>
      </c>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row>
    <row r="80" spans="1:90">
      <c r="A80" s="14"/>
      <c r="B80" s="80" t="s">
        <v>306</v>
      </c>
      <c r="C80" s="80" t="s">
        <v>307</v>
      </c>
      <c r="D80" s="75" t="s">
        <v>626</v>
      </c>
      <c r="E80" s="80" t="s">
        <v>601</v>
      </c>
      <c r="F80" s="80" t="s">
        <v>602</v>
      </c>
      <c r="G80" s="82"/>
      <c r="H80" s="75" t="s">
        <v>627</v>
      </c>
      <c r="I80" s="79" t="s">
        <v>604</v>
      </c>
      <c r="J80" s="79">
        <v>0</v>
      </c>
      <c r="K80" s="86" t="s">
        <v>1023</v>
      </c>
      <c r="L80" s="87">
        <v>2.1</v>
      </c>
      <c r="M80" s="87">
        <f>SUM(L80:L85)*初始权重设定说明!E19</f>
        <v>0.934</v>
      </c>
      <c r="N80" s="93">
        <f>SUM(L80:L85)*权重调整机制!K33</f>
        <v>0.934</v>
      </c>
      <c r="O80" s="86" t="s">
        <v>1024</v>
      </c>
      <c r="P80" s="87">
        <v>1.85</v>
      </c>
      <c r="Q80" s="87">
        <f>SUM(P80:P85)*初始权重设定说明!E19</f>
        <v>0.916</v>
      </c>
      <c r="R80" s="87">
        <f>SUM(P80:P85)*权重调整机制!K33</f>
        <v>0.916</v>
      </c>
      <c r="S80" s="86" t="s">
        <v>1024</v>
      </c>
      <c r="T80" s="87">
        <v>1.94</v>
      </c>
      <c r="U80" s="87">
        <f>SUM(T80:T85)*初始权重设定说明!E19</f>
        <v>0.914</v>
      </c>
      <c r="V80" s="87">
        <f>SUM(T80:T85)*权重调整机制!K33</f>
        <v>0.914</v>
      </c>
      <c r="W80" s="86" t="s">
        <v>1025</v>
      </c>
      <c r="X80" s="87">
        <v>1.21</v>
      </c>
      <c r="Y80" s="87">
        <f>SUM(X80:X85)*初始权重设定说明!E19</f>
        <v>0.242</v>
      </c>
      <c r="Z80" s="87">
        <f>SUM(X80:X85)*权重调整机制!K33</f>
        <v>0.242</v>
      </c>
      <c r="AA80" s="86" t="s">
        <v>1026</v>
      </c>
      <c r="AB80" s="87">
        <v>0</v>
      </c>
      <c r="AC80" s="87">
        <f>SUM(AB80:AB85)*初始权重设定说明!E19</f>
        <v>0.462</v>
      </c>
      <c r="AD80" s="87">
        <f>SUM(AB80:AB85)*权重调整机制!K33</f>
        <v>0.462</v>
      </c>
      <c r="AE80" s="90" t="s">
        <v>1027</v>
      </c>
      <c r="AF80" s="87">
        <v>0</v>
      </c>
      <c r="AG80" s="87">
        <f>SUM(AF80:AF85)*初始权重设定说明!E19</f>
        <v>0</v>
      </c>
      <c r="AH80" s="87">
        <f>SUM(AF80:AF85)*权重调整机制!K33</f>
        <v>0</v>
      </c>
      <c r="AI80" s="86" t="s">
        <v>1028</v>
      </c>
      <c r="AJ80" s="87">
        <v>3</v>
      </c>
      <c r="AK80" s="87">
        <f>SUM(AJ80:AJ85)*初始权重设定说明!E19</f>
        <v>1.546</v>
      </c>
      <c r="AL80" s="87">
        <f>SUM(AJ80:AJ85)*权重调整机制!K33</f>
        <v>1.546</v>
      </c>
      <c r="AM80" s="86" t="s">
        <v>1029</v>
      </c>
      <c r="AN80" s="87">
        <v>1.89</v>
      </c>
      <c r="AO80" s="87">
        <f>SUM(AN80:AN85)*初始权重设定说明!E19</f>
        <v>1.092</v>
      </c>
      <c r="AP80" s="87">
        <f>SUM(AN80:AN85)*权重调整机制!K33</f>
        <v>1.092</v>
      </c>
      <c r="AQ80" s="86" t="s">
        <v>1030</v>
      </c>
      <c r="AR80" s="87">
        <v>2.28</v>
      </c>
      <c r="AS80" s="87">
        <f>SUM(AR80:AR85)*初始权重设定说明!E19</f>
        <v>1.064</v>
      </c>
      <c r="AT80" s="87">
        <f>SUM(AR80:AR85)*权重调整机制!K33</f>
        <v>1.064</v>
      </c>
      <c r="AU80" s="90" t="s">
        <v>1031</v>
      </c>
      <c r="AV80" s="87">
        <v>0</v>
      </c>
      <c r="AW80" s="87">
        <f>SUM(AV80:AV85)*初始权重设定说明!E19</f>
        <v>1.008</v>
      </c>
      <c r="AX80" s="87">
        <f>SUM(AV80:AV85)*权重调整机制!K33</f>
        <v>1.008</v>
      </c>
      <c r="AY80" s="86" t="s">
        <v>1032</v>
      </c>
      <c r="AZ80" s="87">
        <v>2.33</v>
      </c>
      <c r="BA80" s="87">
        <f>SUM(AZ80:AZ85)*初始权重设定说明!E19</f>
        <v>0.466</v>
      </c>
      <c r="BB80" s="87">
        <f>SUM(AZ80:AZ85)*权重调整机制!K33</f>
        <v>0.466</v>
      </c>
      <c r="BC80" s="86" t="s">
        <v>1033</v>
      </c>
      <c r="BD80" s="87">
        <v>1.65</v>
      </c>
      <c r="BE80" s="87">
        <f>SUM(BD80:BD85)*初始权重设定说明!E19</f>
        <v>0.69</v>
      </c>
      <c r="BF80" s="87">
        <f>SUM(BD80:BD85)*权重调整机制!K33</f>
        <v>0.69</v>
      </c>
      <c r="BG80" s="86" t="s">
        <v>1034</v>
      </c>
      <c r="BH80" s="87">
        <v>2.36</v>
      </c>
      <c r="BI80" s="87">
        <f>SUM(BH80:BH85)*初始权重设定说明!E19</f>
        <v>1.01</v>
      </c>
      <c r="BJ80" s="87">
        <f>SUM(BH80:BH85)*权重调整机制!K33</f>
        <v>1.01</v>
      </c>
      <c r="BK80" s="86" t="s">
        <v>1035</v>
      </c>
      <c r="BL80" s="87">
        <v>2.13</v>
      </c>
      <c r="BM80" s="87">
        <f>SUM(BL80:BL85)*初始权重设定说明!E19</f>
        <v>0.764</v>
      </c>
      <c r="BN80" s="87">
        <f>SUM(BL80:BL85)*权重调整机制!K33</f>
        <v>0.764</v>
      </c>
      <c r="BO80" s="86" t="s">
        <v>1036</v>
      </c>
      <c r="BP80" s="87">
        <v>1.49</v>
      </c>
      <c r="BQ80" s="87">
        <f>SUM(BP80:BP85)*初始权重设定说明!E19</f>
        <v>1.134</v>
      </c>
      <c r="BR80" s="87">
        <f>SUM(BP80:BP85)*权重调整机制!K33</f>
        <v>1.134</v>
      </c>
      <c r="BS80" s="86" t="s">
        <v>1037</v>
      </c>
      <c r="BT80" s="87">
        <v>1.85</v>
      </c>
      <c r="BU80" s="87">
        <f>SUM(BT80:BT85)*初始权重设定说明!E19</f>
        <v>0.896</v>
      </c>
      <c r="BV80" s="87">
        <f>SUM(BT80:BT85)*权重调整机制!K33</f>
        <v>0.896</v>
      </c>
      <c r="BW80" s="90" t="s">
        <v>1038</v>
      </c>
      <c r="BX80" s="87">
        <v>0</v>
      </c>
      <c r="BY80" s="87">
        <f>SUM(BX80:BX85)*初始权重设定说明!E19</f>
        <v>0.87</v>
      </c>
      <c r="BZ80" s="87">
        <f>SUM(BX80:BX85)*权重调整机制!K33</f>
        <v>0.87</v>
      </c>
      <c r="CA80" s="86" t="s">
        <v>1039</v>
      </c>
      <c r="CB80" s="87">
        <v>3</v>
      </c>
      <c r="CC80" s="87">
        <f>SUM(CB80:CB85)*初始权重设定说明!E19</f>
        <v>2</v>
      </c>
      <c r="CD80" s="87">
        <f>SUM(CB80:CB85)*权重调整机制!K33</f>
        <v>2</v>
      </c>
      <c r="CE80" s="86" t="s">
        <v>1040</v>
      </c>
      <c r="CF80" s="87">
        <v>2.22</v>
      </c>
      <c r="CG80" s="87">
        <f>SUM(CF80:CF85)*初始权重设定说明!E19</f>
        <v>0.492</v>
      </c>
      <c r="CH80" s="87">
        <f>SUM(CF80:CF85)*权重调整机制!K33</f>
        <v>0.492</v>
      </c>
      <c r="CI80" s="86" t="s">
        <v>1036</v>
      </c>
      <c r="CJ80" s="87">
        <v>2.32</v>
      </c>
      <c r="CK80" s="87">
        <f>SUM(CJ80:CJ85)*初始权重设定说明!E19</f>
        <v>0.648</v>
      </c>
      <c r="CL80" s="87">
        <f>SUM(CJ80:CJ85)*权重调整机制!K33</f>
        <v>0.648</v>
      </c>
    </row>
    <row r="81" ht="101" customHeight="1" spans="1:90">
      <c r="A81" s="14"/>
      <c r="B81" s="14"/>
      <c r="C81" s="14"/>
      <c r="D81" s="14"/>
      <c r="E81" s="14"/>
      <c r="F81" s="14"/>
      <c r="G81" s="14"/>
      <c r="H81" s="14"/>
      <c r="I81" s="79" t="s">
        <v>607</v>
      </c>
      <c r="J81" s="75" t="s">
        <v>608</v>
      </c>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row>
    <row r="82" spans="1:90">
      <c r="A82" s="14"/>
      <c r="B82" s="14"/>
      <c r="C82" s="14"/>
      <c r="D82" s="14"/>
      <c r="E82" s="14"/>
      <c r="F82" s="15"/>
      <c r="G82" s="15"/>
      <c r="H82" s="15"/>
      <c r="I82" s="79" t="s">
        <v>609</v>
      </c>
      <c r="J82" s="79">
        <v>10</v>
      </c>
      <c r="K82" s="15"/>
      <c r="L82" s="15"/>
      <c r="M82" s="14"/>
      <c r="N82" s="14"/>
      <c r="O82" s="15"/>
      <c r="P82" s="15"/>
      <c r="Q82" s="14"/>
      <c r="R82" s="14"/>
      <c r="S82" s="15"/>
      <c r="T82" s="15"/>
      <c r="U82" s="14"/>
      <c r="V82" s="14"/>
      <c r="W82" s="15"/>
      <c r="X82" s="15"/>
      <c r="Y82" s="14"/>
      <c r="Z82" s="14"/>
      <c r="AA82" s="15"/>
      <c r="AB82" s="15"/>
      <c r="AC82" s="14"/>
      <c r="AD82" s="14"/>
      <c r="AE82" s="15"/>
      <c r="AF82" s="15"/>
      <c r="AG82" s="14"/>
      <c r="AH82" s="14"/>
      <c r="AI82" s="15"/>
      <c r="AJ82" s="15"/>
      <c r="AK82" s="14"/>
      <c r="AL82" s="14"/>
      <c r="AM82" s="15"/>
      <c r="AN82" s="15"/>
      <c r="AO82" s="14"/>
      <c r="AP82" s="14"/>
      <c r="AQ82" s="15"/>
      <c r="AR82" s="15"/>
      <c r="AS82" s="14"/>
      <c r="AT82" s="14"/>
      <c r="AU82" s="15"/>
      <c r="AV82" s="15"/>
      <c r="AW82" s="14"/>
      <c r="AX82" s="14"/>
      <c r="AY82" s="15"/>
      <c r="AZ82" s="15"/>
      <c r="BA82" s="14"/>
      <c r="BB82" s="14"/>
      <c r="BC82" s="15"/>
      <c r="BD82" s="15"/>
      <c r="BE82" s="14"/>
      <c r="BF82" s="14"/>
      <c r="BG82" s="15"/>
      <c r="BH82" s="15"/>
      <c r="BI82" s="14"/>
      <c r="BJ82" s="14"/>
      <c r="BK82" s="15"/>
      <c r="BL82" s="15"/>
      <c r="BM82" s="14"/>
      <c r="BN82" s="14"/>
      <c r="BO82" s="15"/>
      <c r="BP82" s="15"/>
      <c r="BQ82" s="14"/>
      <c r="BR82" s="14"/>
      <c r="BS82" s="15"/>
      <c r="BT82" s="15"/>
      <c r="BU82" s="14"/>
      <c r="BV82" s="14"/>
      <c r="BW82" s="15"/>
      <c r="BX82" s="15"/>
      <c r="BY82" s="14"/>
      <c r="BZ82" s="14"/>
      <c r="CA82" s="15"/>
      <c r="CB82" s="15"/>
      <c r="CC82" s="14"/>
      <c r="CD82" s="14"/>
      <c r="CE82" s="15"/>
      <c r="CF82" s="15"/>
      <c r="CG82" s="14"/>
      <c r="CH82" s="14"/>
      <c r="CI82" s="15"/>
      <c r="CJ82" s="15"/>
      <c r="CK82" s="14"/>
      <c r="CL82" s="14"/>
    </row>
    <row r="83" spans="1:90">
      <c r="A83" s="14"/>
      <c r="B83" s="14"/>
      <c r="C83" s="14"/>
      <c r="D83" s="14"/>
      <c r="E83" s="14"/>
      <c r="F83" s="80" t="s">
        <v>610</v>
      </c>
      <c r="G83" s="82"/>
      <c r="H83" s="75" t="s">
        <v>628</v>
      </c>
      <c r="I83" s="79" t="s">
        <v>618</v>
      </c>
      <c r="J83" s="79">
        <v>0</v>
      </c>
      <c r="K83" s="86" t="s">
        <v>1041</v>
      </c>
      <c r="L83" s="87">
        <v>2.57</v>
      </c>
      <c r="M83" s="14"/>
      <c r="N83" s="14"/>
      <c r="O83" s="86" t="s">
        <v>1042</v>
      </c>
      <c r="P83" s="87">
        <v>2.73</v>
      </c>
      <c r="Q83" s="14"/>
      <c r="R83" s="14"/>
      <c r="S83" s="86" t="s">
        <v>1042</v>
      </c>
      <c r="T83" s="87">
        <v>2.63</v>
      </c>
      <c r="U83" s="14"/>
      <c r="V83" s="14"/>
      <c r="W83" s="86" t="s">
        <v>1043</v>
      </c>
      <c r="X83" s="87">
        <v>0</v>
      </c>
      <c r="Y83" s="14"/>
      <c r="Z83" s="14"/>
      <c r="AA83" s="86" t="s">
        <v>1044</v>
      </c>
      <c r="AB83" s="87">
        <v>2.31</v>
      </c>
      <c r="AC83" s="14"/>
      <c r="AD83" s="14"/>
      <c r="AE83" s="90" t="s">
        <v>1045</v>
      </c>
      <c r="AF83" s="87">
        <v>0</v>
      </c>
      <c r="AG83" s="14"/>
      <c r="AH83" s="14"/>
      <c r="AI83" s="86" t="s">
        <v>1028</v>
      </c>
      <c r="AJ83" s="87">
        <v>4.73</v>
      </c>
      <c r="AK83" s="14"/>
      <c r="AL83" s="14"/>
      <c r="AM83" s="86" t="s">
        <v>1046</v>
      </c>
      <c r="AN83" s="87">
        <v>3.57</v>
      </c>
      <c r="AO83" s="14"/>
      <c r="AP83" s="14"/>
      <c r="AQ83" s="86" t="s">
        <v>1047</v>
      </c>
      <c r="AR83" s="87">
        <v>3.04</v>
      </c>
      <c r="AS83" s="14"/>
      <c r="AT83" s="14"/>
      <c r="AU83" s="86" t="s">
        <v>1048</v>
      </c>
      <c r="AV83" s="87">
        <v>5.04</v>
      </c>
      <c r="AW83" s="14"/>
      <c r="AX83" s="14"/>
      <c r="AY83" s="86" t="s">
        <v>1049</v>
      </c>
      <c r="AZ83" s="87">
        <v>0</v>
      </c>
      <c r="BA83" s="14"/>
      <c r="BB83" s="14"/>
      <c r="BC83" s="86" t="s">
        <v>1046</v>
      </c>
      <c r="BD83" s="87">
        <v>1.8</v>
      </c>
      <c r="BE83" s="14"/>
      <c r="BF83" s="14"/>
      <c r="BG83" s="86" t="s">
        <v>1050</v>
      </c>
      <c r="BH83" s="87">
        <v>2.69</v>
      </c>
      <c r="BI83" s="14"/>
      <c r="BJ83" s="14"/>
      <c r="BK83" s="86" t="s">
        <v>1051</v>
      </c>
      <c r="BL83" s="87">
        <v>1.69</v>
      </c>
      <c r="BM83" s="14"/>
      <c r="BN83" s="14"/>
      <c r="BO83" s="86" t="s">
        <v>1052</v>
      </c>
      <c r="BP83" s="87">
        <v>4.18</v>
      </c>
      <c r="BQ83" s="14"/>
      <c r="BR83" s="14"/>
      <c r="BS83" s="86" t="s">
        <v>1053</v>
      </c>
      <c r="BT83" s="87">
        <v>2.63</v>
      </c>
      <c r="BU83" s="14"/>
      <c r="BV83" s="14"/>
      <c r="BW83" s="86" t="s">
        <v>1054</v>
      </c>
      <c r="BX83" s="87">
        <v>4.35</v>
      </c>
      <c r="BY83" s="14"/>
      <c r="BZ83" s="14"/>
      <c r="CA83" s="86" t="s">
        <v>1055</v>
      </c>
      <c r="CB83" s="87">
        <v>7</v>
      </c>
      <c r="CC83" s="14"/>
      <c r="CD83" s="14"/>
      <c r="CE83" s="86" t="s">
        <v>1056</v>
      </c>
      <c r="CF83" s="87">
        <v>0.24</v>
      </c>
      <c r="CG83" s="14"/>
      <c r="CH83" s="14"/>
      <c r="CI83" s="86" t="s">
        <v>1057</v>
      </c>
      <c r="CJ83" s="87">
        <v>0.92</v>
      </c>
      <c r="CK83" s="14"/>
      <c r="CL83" s="14"/>
    </row>
    <row r="84" ht="84" customHeight="1" spans="1:90">
      <c r="A84" s="14"/>
      <c r="B84" s="14"/>
      <c r="C84" s="14"/>
      <c r="D84" s="14"/>
      <c r="E84" s="14"/>
      <c r="F84" s="14"/>
      <c r="G84" s="14"/>
      <c r="H84" s="14"/>
      <c r="I84" s="79" t="s">
        <v>613</v>
      </c>
      <c r="J84" s="75" t="s">
        <v>619</v>
      </c>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row>
    <row r="85" spans="1:90">
      <c r="A85" s="14"/>
      <c r="B85" s="15"/>
      <c r="C85" s="15"/>
      <c r="D85" s="15"/>
      <c r="E85" s="15"/>
      <c r="F85" s="15"/>
      <c r="G85" s="15"/>
      <c r="H85" s="15"/>
      <c r="I85" s="79" t="s">
        <v>615</v>
      </c>
      <c r="J85" s="79">
        <v>10</v>
      </c>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row>
    <row r="86" spans="1:90">
      <c r="A86" s="14"/>
      <c r="B86" s="80" t="s">
        <v>326</v>
      </c>
      <c r="C86" s="80" t="s">
        <v>327</v>
      </c>
      <c r="D86" s="75" t="s">
        <v>328</v>
      </c>
      <c r="E86" s="80" t="s">
        <v>629</v>
      </c>
      <c r="F86" s="80" t="s">
        <v>630</v>
      </c>
      <c r="G86" s="75"/>
      <c r="H86" s="75" t="s">
        <v>631</v>
      </c>
      <c r="I86" s="79" t="s">
        <v>581</v>
      </c>
      <c r="J86" s="75">
        <v>0</v>
      </c>
      <c r="K86" s="86" t="s">
        <v>1058</v>
      </c>
      <c r="L86" s="87">
        <v>5</v>
      </c>
      <c r="M86" s="87">
        <f>SUM(L86:L89)*初始权重设定说明!E20</f>
        <v>1</v>
      </c>
      <c r="N86" s="86">
        <f>SUM(L86:L89)*权重调整机制!K34</f>
        <v>1</v>
      </c>
      <c r="O86" s="86" t="s">
        <v>1059</v>
      </c>
      <c r="P86" s="87">
        <v>5</v>
      </c>
      <c r="Q86" s="87">
        <f>SUM(P86:P89)*初始权重设定说明!E20</f>
        <v>1</v>
      </c>
      <c r="R86" s="87">
        <f>SUM(P86:P89)*权重调整机制!K34</f>
        <v>1</v>
      </c>
      <c r="S86" s="86" t="s">
        <v>1060</v>
      </c>
      <c r="T86" s="87">
        <v>5</v>
      </c>
      <c r="U86" s="87">
        <f>SUM(T86:T89)*初始权重设定说明!E20</f>
        <v>1</v>
      </c>
      <c r="V86" s="87">
        <f>SUM(T86:T89)*权重调整机制!K34</f>
        <v>1</v>
      </c>
      <c r="W86" s="86" t="s">
        <v>1061</v>
      </c>
      <c r="X86" s="87">
        <v>5</v>
      </c>
      <c r="Y86" s="87">
        <f>SUM(X86:X89)*初始权重设定说明!E20</f>
        <v>1</v>
      </c>
      <c r="Z86" s="87">
        <f>SUM(X86:X89)*权重调整机制!K34</f>
        <v>1</v>
      </c>
      <c r="AA86" s="86" t="s">
        <v>1062</v>
      </c>
      <c r="AB86" s="87">
        <v>5</v>
      </c>
      <c r="AC86" s="87">
        <f>SUM(AB86:AB89)*初始权重设定说明!E20</f>
        <v>1</v>
      </c>
      <c r="AD86" s="87">
        <f>SUM(AB86:AB89)*权重调整机制!K34</f>
        <v>1</v>
      </c>
      <c r="AE86" s="86" t="s">
        <v>1063</v>
      </c>
      <c r="AF86" s="87">
        <v>5</v>
      </c>
      <c r="AG86" s="87">
        <f>SUM(AF86:AF89)*初始权重设定说明!E20</f>
        <v>1</v>
      </c>
      <c r="AH86" s="87">
        <f>SUM(AF86:AF89)*权重调整机制!K34</f>
        <v>1</v>
      </c>
      <c r="AI86" s="86" t="s">
        <v>1064</v>
      </c>
      <c r="AJ86" s="87">
        <v>5</v>
      </c>
      <c r="AK86" s="87">
        <f>SUM(AJ86:AJ89)*初始权重设定说明!E20</f>
        <v>1</v>
      </c>
      <c r="AL86" s="87">
        <f>SUM(AJ86:AJ89)*权重调整机制!K34</f>
        <v>1</v>
      </c>
      <c r="AM86" s="86" t="s">
        <v>1065</v>
      </c>
      <c r="AN86" s="87">
        <v>5</v>
      </c>
      <c r="AO86" s="87">
        <f>SUM(AN86:AN89)*初始权重设定说明!E20</f>
        <v>1</v>
      </c>
      <c r="AP86" s="87">
        <f>SUM(AN86:AN89)*权重调整机制!K34</f>
        <v>1</v>
      </c>
      <c r="AQ86" s="86" t="s">
        <v>1066</v>
      </c>
      <c r="AR86" s="87">
        <v>5</v>
      </c>
      <c r="AS86" s="87">
        <f>SUM(AR86:AR89)*初始权重设定说明!E20</f>
        <v>1</v>
      </c>
      <c r="AT86" s="87">
        <f>SUM(AR86:AR89)*权重调整机制!K34</f>
        <v>1</v>
      </c>
      <c r="AU86" s="86" t="s">
        <v>1067</v>
      </c>
      <c r="AV86" s="87">
        <v>5</v>
      </c>
      <c r="AW86" s="87">
        <f>SUM(AV86:AV89)*初始权重设定说明!E20</f>
        <v>1</v>
      </c>
      <c r="AX86" s="87">
        <f>SUM(AV86:AV89)*权重调整机制!K34</f>
        <v>1</v>
      </c>
      <c r="AY86" s="86" t="s">
        <v>1068</v>
      </c>
      <c r="AZ86" s="87">
        <v>5</v>
      </c>
      <c r="BA86" s="87">
        <f>SUM(AZ86:AZ89)*初始权重设定说明!E20</f>
        <v>1</v>
      </c>
      <c r="BB86" s="87">
        <f>SUM(AZ86:AZ89)*权重调整机制!K34</f>
        <v>1</v>
      </c>
      <c r="BC86" s="86" t="s">
        <v>1069</v>
      </c>
      <c r="BD86" s="87">
        <v>5</v>
      </c>
      <c r="BE86" s="87">
        <f>SUM(BD86:BD89)*初始权重设定说明!E20</f>
        <v>1</v>
      </c>
      <c r="BF86" s="87">
        <f>SUM(BD86:BD89)*权重调整机制!K34</f>
        <v>1</v>
      </c>
      <c r="BG86" s="86" t="s">
        <v>1070</v>
      </c>
      <c r="BH86" s="87">
        <v>5</v>
      </c>
      <c r="BI86" s="87">
        <f>SUM(BH86:BH89)*初始权重设定说明!E20</f>
        <v>1</v>
      </c>
      <c r="BJ86" s="87">
        <f>SUM(BH86:BH89)*权重调整机制!K34</f>
        <v>1</v>
      </c>
      <c r="BK86" s="86" t="s">
        <v>1071</v>
      </c>
      <c r="BL86" s="87">
        <v>5</v>
      </c>
      <c r="BM86" s="87">
        <f>SUM(BL86:BL89)*初始权重设定说明!E20</f>
        <v>1</v>
      </c>
      <c r="BN86" s="87">
        <f>SUM(BL86:BL89)*权重调整机制!K34</f>
        <v>1</v>
      </c>
      <c r="BO86" s="91" t="s">
        <v>596</v>
      </c>
      <c r="BP86" s="87">
        <v>0</v>
      </c>
      <c r="BQ86" s="87">
        <f>SUM(BP86:BP89)*初始权重设定说明!E20</f>
        <v>0</v>
      </c>
      <c r="BR86" s="87">
        <f>SUM(BP86:BP89)*权重调整机制!K34</f>
        <v>0</v>
      </c>
      <c r="BS86" s="86" t="s">
        <v>1072</v>
      </c>
      <c r="BT86" s="87">
        <v>5</v>
      </c>
      <c r="BU86" s="87">
        <f>SUM(BT86:BT89)*初始权重设定说明!E20</f>
        <v>0.5</v>
      </c>
      <c r="BV86" s="87">
        <f>SUM(BT86:BT89)*权重调整机制!K34</f>
        <v>0.5</v>
      </c>
      <c r="BW86" s="86" t="s">
        <v>1073</v>
      </c>
      <c r="BX86" s="87">
        <v>5</v>
      </c>
      <c r="BY86" s="87">
        <f>SUM(BX86:BX89)*初始权重设定说明!E20</f>
        <v>1</v>
      </c>
      <c r="BZ86" s="87">
        <f>SUM(BX86:BX89)*权重调整机制!K34</f>
        <v>1</v>
      </c>
      <c r="CA86" s="86" t="s">
        <v>1074</v>
      </c>
      <c r="CB86" s="87">
        <v>5</v>
      </c>
      <c r="CC86" s="87">
        <f>SUM(CB86:CB89)*初始权重设定说明!E20</f>
        <v>1</v>
      </c>
      <c r="CD86" s="87">
        <f>SUM(CB86:CB89)*权重调整机制!K34</f>
        <v>1</v>
      </c>
      <c r="CE86" s="86" t="s">
        <v>1075</v>
      </c>
      <c r="CF86" s="87">
        <v>5</v>
      </c>
      <c r="CG86" s="87">
        <f>SUM(CF86:CF89)*初始权重设定说明!E20</f>
        <v>1</v>
      </c>
      <c r="CH86" s="87">
        <f>SUM(CF86:CF89)*权重调整机制!K34</f>
        <v>1</v>
      </c>
      <c r="CI86" s="86" t="s">
        <v>1076</v>
      </c>
      <c r="CJ86" s="87">
        <v>5</v>
      </c>
      <c r="CK86" s="87">
        <f>SUM(CJ86:CJ89)*初始权重设定说明!E20</f>
        <v>1</v>
      </c>
      <c r="CL86" s="87">
        <f>SUM(CJ86:CJ89)*权重调整机制!K34</f>
        <v>1</v>
      </c>
    </row>
    <row r="87" spans="1:90">
      <c r="A87" s="14"/>
      <c r="B87" s="14"/>
      <c r="C87" s="14"/>
      <c r="D87" s="14"/>
      <c r="E87" s="14"/>
      <c r="F87" s="15"/>
      <c r="G87" s="15"/>
      <c r="H87" s="15"/>
      <c r="I87" s="79" t="s">
        <v>582</v>
      </c>
      <c r="J87" s="75">
        <v>5</v>
      </c>
      <c r="K87" s="15"/>
      <c r="L87" s="15"/>
      <c r="M87" s="14"/>
      <c r="N87" s="14"/>
      <c r="O87" s="15"/>
      <c r="P87" s="15"/>
      <c r="Q87" s="14"/>
      <c r="R87" s="14"/>
      <c r="S87" s="15"/>
      <c r="T87" s="15"/>
      <c r="U87" s="14"/>
      <c r="V87" s="14"/>
      <c r="W87" s="15"/>
      <c r="X87" s="15"/>
      <c r="Y87" s="14"/>
      <c r="Z87" s="14"/>
      <c r="AA87" s="15"/>
      <c r="AB87" s="15"/>
      <c r="AC87" s="14"/>
      <c r="AD87" s="14"/>
      <c r="AE87" s="15"/>
      <c r="AF87" s="15"/>
      <c r="AG87" s="14"/>
      <c r="AH87" s="14"/>
      <c r="AI87" s="15"/>
      <c r="AJ87" s="15"/>
      <c r="AK87" s="14"/>
      <c r="AL87" s="14"/>
      <c r="AM87" s="15"/>
      <c r="AN87" s="15"/>
      <c r="AO87" s="14"/>
      <c r="AP87" s="14"/>
      <c r="AQ87" s="15"/>
      <c r="AR87" s="15"/>
      <c r="AS87" s="14"/>
      <c r="AT87" s="14"/>
      <c r="AU87" s="15"/>
      <c r="AV87" s="15"/>
      <c r="AW87" s="14"/>
      <c r="AX87" s="14"/>
      <c r="AY87" s="15"/>
      <c r="AZ87" s="15"/>
      <c r="BA87" s="14"/>
      <c r="BB87" s="14"/>
      <c r="BC87" s="15"/>
      <c r="BD87" s="15"/>
      <c r="BE87" s="14"/>
      <c r="BF87" s="14"/>
      <c r="BG87" s="15"/>
      <c r="BH87" s="15"/>
      <c r="BI87" s="14"/>
      <c r="BJ87" s="14"/>
      <c r="BK87" s="15"/>
      <c r="BL87" s="15"/>
      <c r="BM87" s="14"/>
      <c r="BN87" s="14"/>
      <c r="BO87" s="15"/>
      <c r="BP87" s="15"/>
      <c r="BQ87" s="14"/>
      <c r="BR87" s="14"/>
      <c r="BS87" s="15"/>
      <c r="BT87" s="15"/>
      <c r="BU87" s="14"/>
      <c r="BV87" s="14"/>
      <c r="BW87" s="15"/>
      <c r="BX87" s="15"/>
      <c r="BY87" s="14"/>
      <c r="BZ87" s="14"/>
      <c r="CA87" s="15"/>
      <c r="CB87" s="15"/>
      <c r="CC87" s="14"/>
      <c r="CD87" s="14"/>
      <c r="CE87" s="15"/>
      <c r="CF87" s="15"/>
      <c r="CG87" s="14"/>
      <c r="CH87" s="14"/>
      <c r="CI87" s="15"/>
      <c r="CJ87" s="15"/>
      <c r="CK87" s="14"/>
      <c r="CL87" s="14"/>
    </row>
    <row r="88" spans="1:90">
      <c r="A88" s="14"/>
      <c r="B88" s="14"/>
      <c r="C88" s="14"/>
      <c r="D88" s="14"/>
      <c r="E88" s="14"/>
      <c r="F88" s="80" t="s">
        <v>632</v>
      </c>
      <c r="G88" s="75"/>
      <c r="H88" s="75" t="s">
        <v>633</v>
      </c>
      <c r="I88" s="79" t="s">
        <v>581</v>
      </c>
      <c r="J88" s="75">
        <v>0</v>
      </c>
      <c r="K88" s="86" t="s">
        <v>1077</v>
      </c>
      <c r="L88" s="87">
        <v>5</v>
      </c>
      <c r="M88" s="14"/>
      <c r="N88" s="14"/>
      <c r="O88" s="86" t="s">
        <v>1078</v>
      </c>
      <c r="P88" s="87">
        <v>5</v>
      </c>
      <c r="Q88" s="14"/>
      <c r="R88" s="14"/>
      <c r="S88" s="86" t="s">
        <v>1079</v>
      </c>
      <c r="T88" s="87">
        <v>5</v>
      </c>
      <c r="U88" s="14"/>
      <c r="V88" s="14"/>
      <c r="W88" s="86" t="s">
        <v>1080</v>
      </c>
      <c r="X88" s="87">
        <v>5</v>
      </c>
      <c r="Y88" s="14"/>
      <c r="Z88" s="14"/>
      <c r="AA88" s="86" t="s">
        <v>1081</v>
      </c>
      <c r="AB88" s="87">
        <v>5</v>
      </c>
      <c r="AC88" s="14"/>
      <c r="AD88" s="14"/>
      <c r="AE88" s="86" t="s">
        <v>1082</v>
      </c>
      <c r="AF88" s="87">
        <v>5</v>
      </c>
      <c r="AG88" s="14"/>
      <c r="AH88" s="14"/>
      <c r="AI88" s="86" t="s">
        <v>1083</v>
      </c>
      <c r="AJ88" s="87">
        <v>5</v>
      </c>
      <c r="AK88" s="14"/>
      <c r="AL88" s="14"/>
      <c r="AM88" s="86" t="s">
        <v>1084</v>
      </c>
      <c r="AN88" s="87">
        <v>5</v>
      </c>
      <c r="AO88" s="14"/>
      <c r="AP88" s="14"/>
      <c r="AQ88" s="86" t="s">
        <v>1085</v>
      </c>
      <c r="AR88" s="87">
        <v>5</v>
      </c>
      <c r="AS88" s="14"/>
      <c r="AT88" s="14"/>
      <c r="AU88" s="86" t="s">
        <v>1086</v>
      </c>
      <c r="AV88" s="87">
        <v>5</v>
      </c>
      <c r="AW88" s="14"/>
      <c r="AX88" s="14"/>
      <c r="AY88" s="86" t="s">
        <v>1087</v>
      </c>
      <c r="AZ88" s="87">
        <v>5</v>
      </c>
      <c r="BA88" s="14"/>
      <c r="BB88" s="14"/>
      <c r="BC88" s="86" t="s">
        <v>1088</v>
      </c>
      <c r="BD88" s="87">
        <v>5</v>
      </c>
      <c r="BE88" s="14"/>
      <c r="BF88" s="14"/>
      <c r="BG88" s="86" t="s">
        <v>1070</v>
      </c>
      <c r="BH88" s="87">
        <v>5</v>
      </c>
      <c r="BI88" s="14"/>
      <c r="BJ88" s="14"/>
      <c r="BK88" s="86" t="s">
        <v>1089</v>
      </c>
      <c r="BL88" s="87">
        <v>5</v>
      </c>
      <c r="BM88" s="14"/>
      <c r="BN88" s="14"/>
      <c r="BO88" s="91" t="s">
        <v>596</v>
      </c>
      <c r="BP88" s="87">
        <v>0</v>
      </c>
      <c r="BQ88" s="14"/>
      <c r="BR88" s="14"/>
      <c r="BS88" s="91" t="s">
        <v>596</v>
      </c>
      <c r="BT88" s="87">
        <v>0</v>
      </c>
      <c r="BU88" s="14"/>
      <c r="BV88" s="14"/>
      <c r="BW88" s="86" t="s">
        <v>1090</v>
      </c>
      <c r="BX88" s="87">
        <v>5</v>
      </c>
      <c r="BY88" s="14"/>
      <c r="BZ88" s="14"/>
      <c r="CA88" s="86" t="s">
        <v>1091</v>
      </c>
      <c r="CB88" s="87">
        <v>5</v>
      </c>
      <c r="CC88" s="14"/>
      <c r="CD88" s="14"/>
      <c r="CE88" s="86" t="s">
        <v>1092</v>
      </c>
      <c r="CF88" s="87">
        <v>5</v>
      </c>
      <c r="CG88" s="14"/>
      <c r="CH88" s="14"/>
      <c r="CI88" s="86" t="s">
        <v>1093</v>
      </c>
      <c r="CJ88" s="87">
        <v>5</v>
      </c>
      <c r="CK88" s="14"/>
      <c r="CL88" s="14"/>
    </row>
    <row r="89" spans="1:90">
      <c r="A89" s="14"/>
      <c r="B89" s="15"/>
      <c r="C89" s="15"/>
      <c r="D89" s="15"/>
      <c r="E89" s="15"/>
      <c r="F89" s="15"/>
      <c r="G89" s="15"/>
      <c r="H89" s="15"/>
      <c r="I89" s="79" t="s">
        <v>582</v>
      </c>
      <c r="J89" s="75">
        <v>5</v>
      </c>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row>
    <row r="90" spans="1:90">
      <c r="A90" s="14"/>
      <c r="B90" s="74" t="s">
        <v>336</v>
      </c>
      <c r="C90" s="74" t="s">
        <v>342</v>
      </c>
      <c r="D90" s="75" t="s">
        <v>343</v>
      </c>
      <c r="E90" s="74" t="s">
        <v>556</v>
      </c>
      <c r="F90" s="80" t="s">
        <v>634</v>
      </c>
      <c r="G90" s="79"/>
      <c r="H90" s="75" t="s">
        <v>1094</v>
      </c>
      <c r="I90" s="79">
        <v>0</v>
      </c>
      <c r="J90" s="79">
        <v>0</v>
      </c>
      <c r="K90" s="86" t="s">
        <v>1095</v>
      </c>
      <c r="L90" s="87">
        <v>5</v>
      </c>
      <c r="M90" s="87">
        <f>L90*初始权重设定说明!E21</f>
        <v>0.5</v>
      </c>
      <c r="N90" s="86">
        <f>SUM(L90:L92)*权重调整机制!K35</f>
        <v>0.5</v>
      </c>
      <c r="O90" s="86" t="s">
        <v>1096</v>
      </c>
      <c r="P90" s="87">
        <v>5</v>
      </c>
      <c r="Q90" s="87">
        <f>P90*初始权重设定说明!E21</f>
        <v>0.5</v>
      </c>
      <c r="R90" s="87">
        <f>SUM(P90:P92)*权重调整机制!K35</f>
        <v>0.5</v>
      </c>
      <c r="S90" s="86" t="s">
        <v>1097</v>
      </c>
      <c r="T90" s="87">
        <v>5</v>
      </c>
      <c r="U90" s="87">
        <f>T90*初始权重设定说明!E21</f>
        <v>0.5</v>
      </c>
      <c r="V90" s="87">
        <f>SUM(T90:T92)*权重调整机制!K35</f>
        <v>0.5</v>
      </c>
      <c r="W90" s="86" t="s">
        <v>1098</v>
      </c>
      <c r="X90" s="87">
        <v>5</v>
      </c>
      <c r="Y90" s="87">
        <f>X90*初始权重设定说明!E21</f>
        <v>0.5</v>
      </c>
      <c r="Z90" s="87">
        <f>SUM(X90:X92)*权重调整机制!K35</f>
        <v>0.5</v>
      </c>
      <c r="AA90" s="86" t="s">
        <v>1099</v>
      </c>
      <c r="AB90" s="87">
        <v>5</v>
      </c>
      <c r="AC90" s="87">
        <f>AB90*初始权重设定说明!E21</f>
        <v>0.5</v>
      </c>
      <c r="AD90" s="87">
        <f>SUM(AB90:AB92)*权重调整机制!K35</f>
        <v>0.5</v>
      </c>
      <c r="AE90" s="86" t="s">
        <v>1100</v>
      </c>
      <c r="AF90" s="87">
        <v>10</v>
      </c>
      <c r="AG90" s="87">
        <f>AF90*初始权重设定说明!E21</f>
        <v>1</v>
      </c>
      <c r="AH90" s="87">
        <f>SUM(AF90:AF92)*权重调整机制!K35</f>
        <v>1</v>
      </c>
      <c r="AI90" s="86" t="s">
        <v>1101</v>
      </c>
      <c r="AJ90" s="87">
        <v>10</v>
      </c>
      <c r="AK90" s="87">
        <f>AJ90*初始权重设定说明!E21</f>
        <v>1</v>
      </c>
      <c r="AL90" s="87">
        <f>SUM(AJ90:AJ92)*权重调整机制!K35</f>
        <v>1</v>
      </c>
      <c r="AM90" s="86" t="s">
        <v>1102</v>
      </c>
      <c r="AN90" s="87">
        <v>5</v>
      </c>
      <c r="AO90" s="87">
        <f>AN90*初始权重设定说明!E21</f>
        <v>0.5</v>
      </c>
      <c r="AP90" s="87">
        <f>SUM(AN90:AN92)*权重调整机制!K35</f>
        <v>0.5</v>
      </c>
      <c r="AQ90" s="86" t="s">
        <v>1103</v>
      </c>
      <c r="AR90" s="87">
        <v>5</v>
      </c>
      <c r="AS90" s="87">
        <f>AR90*初始权重设定说明!E21</f>
        <v>0.5</v>
      </c>
      <c r="AT90" s="87">
        <f>SUM(AR90:AR92)*权重调整机制!K35</f>
        <v>0.5</v>
      </c>
      <c r="AU90" s="86" t="s">
        <v>1104</v>
      </c>
      <c r="AV90" s="87">
        <v>5</v>
      </c>
      <c r="AW90" s="87">
        <f>AV90*初始权重设定说明!E21</f>
        <v>0.5</v>
      </c>
      <c r="AX90" s="87">
        <f>SUM(AV90:AV92)*权重调整机制!K35</f>
        <v>0.5</v>
      </c>
      <c r="AY90" s="86" t="s">
        <v>1105</v>
      </c>
      <c r="AZ90" s="87">
        <v>5</v>
      </c>
      <c r="BA90" s="87">
        <f>AZ90*初始权重设定说明!E21</f>
        <v>0.5</v>
      </c>
      <c r="BB90" s="87">
        <f>SUM(AZ90:AZ92)*权重调整机制!K35</f>
        <v>0.5</v>
      </c>
      <c r="BC90" s="86" t="s">
        <v>1106</v>
      </c>
      <c r="BD90" s="87">
        <v>7.5</v>
      </c>
      <c r="BE90" s="87">
        <f>BD90*初始权重设定说明!E21</f>
        <v>0.75</v>
      </c>
      <c r="BF90" s="87">
        <f>SUM(BD90:BD92)*权重调整机制!K35</f>
        <v>0.75</v>
      </c>
      <c r="BG90" s="86" t="s">
        <v>1107</v>
      </c>
      <c r="BH90" s="87">
        <v>10</v>
      </c>
      <c r="BI90" s="87">
        <f>BH90*初始权重设定说明!E21</f>
        <v>1</v>
      </c>
      <c r="BJ90" s="87">
        <f>SUM(BH90:BH92)*权重调整机制!K35</f>
        <v>1</v>
      </c>
      <c r="BK90" s="86" t="s">
        <v>1108</v>
      </c>
      <c r="BL90" s="87">
        <v>10</v>
      </c>
      <c r="BM90" s="87">
        <f>BL90*初始权重设定说明!E21</f>
        <v>1</v>
      </c>
      <c r="BN90" s="87">
        <f>SUM(BL90:BL92)*权重调整机制!K35</f>
        <v>1</v>
      </c>
      <c r="BO90" s="86" t="s">
        <v>1109</v>
      </c>
      <c r="BP90" s="87">
        <v>10</v>
      </c>
      <c r="BQ90" s="87">
        <f>BP90*初始权重设定说明!E21</f>
        <v>1</v>
      </c>
      <c r="BR90" s="87">
        <f>SUM(BP90:BP92)*权重调整机制!K35</f>
        <v>1</v>
      </c>
      <c r="BS90" s="86" t="s">
        <v>1110</v>
      </c>
      <c r="BT90" s="87">
        <v>10</v>
      </c>
      <c r="BU90" s="87">
        <f>BT90*初始权重设定说明!E21</f>
        <v>1</v>
      </c>
      <c r="BV90" s="87">
        <f>SUM(BT90:BT92)*权重调整机制!K35</f>
        <v>1</v>
      </c>
      <c r="BW90" s="86" t="s">
        <v>1111</v>
      </c>
      <c r="BX90" s="87">
        <v>10</v>
      </c>
      <c r="BY90" s="87">
        <f>BX90*初始权重设定说明!E21</f>
        <v>1</v>
      </c>
      <c r="BZ90" s="87">
        <f>SUM(BX90:BX92)*权重调整机制!K35</f>
        <v>1</v>
      </c>
      <c r="CA90" s="86" t="s">
        <v>1112</v>
      </c>
      <c r="CB90" s="87">
        <v>10</v>
      </c>
      <c r="CC90" s="87">
        <f>CB90*初始权重设定说明!E21</f>
        <v>1</v>
      </c>
      <c r="CD90" s="87">
        <f>SUM(CB90:CB92)*权重调整机制!K35</f>
        <v>1</v>
      </c>
      <c r="CE90" s="86" t="s">
        <v>1113</v>
      </c>
      <c r="CF90" s="87">
        <v>10</v>
      </c>
      <c r="CG90" s="87">
        <f>CF90*初始权重设定说明!E21</f>
        <v>1</v>
      </c>
      <c r="CH90" s="87">
        <f>SUM(CF90:CF92)*权重调整机制!K35</f>
        <v>1</v>
      </c>
      <c r="CI90" s="86" t="s">
        <v>1114</v>
      </c>
      <c r="CJ90" s="87">
        <v>10</v>
      </c>
      <c r="CK90" s="87">
        <f>CJ90*初始权重设定说明!E21</f>
        <v>1</v>
      </c>
      <c r="CL90" s="87">
        <f>SUM(CJ90:CJ92)*权重调整机制!K35</f>
        <v>1</v>
      </c>
    </row>
    <row r="91" spans="1:90">
      <c r="A91" s="14"/>
      <c r="B91" s="14"/>
      <c r="C91" s="14"/>
      <c r="D91" s="14"/>
      <c r="E91" s="14"/>
      <c r="F91" s="14"/>
      <c r="G91" s="14"/>
      <c r="H91" s="14"/>
      <c r="I91" s="79">
        <v>5</v>
      </c>
      <c r="J91" s="79">
        <v>5</v>
      </c>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row>
    <row r="92" spans="1:90">
      <c r="A92" s="14"/>
      <c r="B92" s="14"/>
      <c r="C92" s="15"/>
      <c r="D92" s="15"/>
      <c r="E92" s="15"/>
      <c r="F92" s="15"/>
      <c r="G92" s="15"/>
      <c r="H92" s="15"/>
      <c r="I92" s="79">
        <v>10</v>
      </c>
      <c r="J92" s="79">
        <v>10</v>
      </c>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row>
    <row r="93" ht="17" customHeight="1" spans="1:90">
      <c r="A93" s="14"/>
      <c r="B93" s="14"/>
      <c r="C93" s="74" t="s">
        <v>351</v>
      </c>
      <c r="D93" s="75" t="s">
        <v>352</v>
      </c>
      <c r="E93" s="74" t="s">
        <v>601</v>
      </c>
      <c r="F93" s="80" t="s">
        <v>602</v>
      </c>
      <c r="G93" s="79"/>
      <c r="H93" s="75" t="s">
        <v>638</v>
      </c>
      <c r="I93" s="104" t="s">
        <v>618</v>
      </c>
      <c r="J93" s="79">
        <v>0</v>
      </c>
      <c r="K93" s="86" t="s">
        <v>1115</v>
      </c>
      <c r="L93" s="87">
        <v>10</v>
      </c>
      <c r="M93" s="87">
        <f>L93*初始权重设定说明!E22</f>
        <v>3</v>
      </c>
      <c r="N93" s="86">
        <f>L93*权重调整机制!K36</f>
        <v>4</v>
      </c>
      <c r="O93" s="86" t="s">
        <v>1115</v>
      </c>
      <c r="P93" s="87">
        <v>10</v>
      </c>
      <c r="Q93" s="87">
        <f>P93*初始权重设定说明!E22</f>
        <v>3</v>
      </c>
      <c r="R93" s="87">
        <f>P93*权重调整机制!K36</f>
        <v>4</v>
      </c>
      <c r="S93" s="86" t="s">
        <v>1116</v>
      </c>
      <c r="T93" s="87">
        <v>3.5</v>
      </c>
      <c r="U93" s="87">
        <f>T93*初始权重设定说明!E22</f>
        <v>1.05</v>
      </c>
      <c r="V93" s="87">
        <f>T93*权重调整机制!K36</f>
        <v>1.4</v>
      </c>
      <c r="W93" s="86" t="s">
        <v>1115</v>
      </c>
      <c r="X93" s="87">
        <v>5.38</v>
      </c>
      <c r="Y93" s="87">
        <f>X93*初始权重设定说明!E22</f>
        <v>1.614</v>
      </c>
      <c r="Z93" s="87">
        <f>X93*权重调整机制!K36</f>
        <v>2.152</v>
      </c>
      <c r="AA93" s="86" t="s">
        <v>1115</v>
      </c>
      <c r="AB93" s="87">
        <v>7.27</v>
      </c>
      <c r="AC93" s="87">
        <f>AB93*初始权重设定说明!E22</f>
        <v>2.181</v>
      </c>
      <c r="AD93" s="87">
        <f>AB93*权重调整机制!K36</f>
        <v>2.908</v>
      </c>
      <c r="AE93" s="86" t="s">
        <v>1117</v>
      </c>
      <c r="AF93" s="87">
        <v>1.72</v>
      </c>
      <c r="AG93" s="87">
        <f>AF93*初始权重设定说明!E22</f>
        <v>0.516</v>
      </c>
      <c r="AH93" s="87">
        <f>AF93*权重调整机制!K36</f>
        <v>0.688</v>
      </c>
      <c r="AI93" s="86" t="s">
        <v>1115</v>
      </c>
      <c r="AJ93" s="87">
        <v>2.03</v>
      </c>
      <c r="AK93" s="87">
        <f>AJ93*初始权重设定说明!E22</f>
        <v>0.609</v>
      </c>
      <c r="AL93" s="87">
        <f>AJ93*权重调整机制!K36</f>
        <v>0.812</v>
      </c>
      <c r="AM93" s="86" t="s">
        <v>1118</v>
      </c>
      <c r="AN93" s="87">
        <v>2.81</v>
      </c>
      <c r="AO93" s="87">
        <f>AN93*初始权重设定说明!E22</f>
        <v>0.843</v>
      </c>
      <c r="AP93" s="87">
        <f>AN93*权重调整机制!K36</f>
        <v>1.124</v>
      </c>
      <c r="AQ93" s="86" t="s">
        <v>1115</v>
      </c>
      <c r="AR93" s="87">
        <v>4.2</v>
      </c>
      <c r="AS93" s="87">
        <f>AR93*初始权重设定说明!E22</f>
        <v>1.26</v>
      </c>
      <c r="AT93" s="87">
        <f>AR93*权重调整机制!K36</f>
        <v>1.68</v>
      </c>
      <c r="AU93" s="86" t="s">
        <v>1119</v>
      </c>
      <c r="AV93" s="87">
        <v>0</v>
      </c>
      <c r="AW93" s="87">
        <f>AV93*初始权重设定说明!E22</f>
        <v>0</v>
      </c>
      <c r="AX93" s="87">
        <f>AV93*权重调整机制!K36</f>
        <v>0</v>
      </c>
      <c r="AY93" s="86" t="s">
        <v>1120</v>
      </c>
      <c r="AZ93" s="87">
        <v>1.97</v>
      </c>
      <c r="BA93" s="87">
        <f>AZ93*初始权重设定说明!E22</f>
        <v>0.591</v>
      </c>
      <c r="BB93" s="87">
        <f>AZ93*权重调整机制!K36</f>
        <v>0.788</v>
      </c>
      <c r="BC93" s="86" t="s">
        <v>1121</v>
      </c>
      <c r="BD93" s="87">
        <v>1.88</v>
      </c>
      <c r="BE93" s="87">
        <f>BD93*初始权重设定说明!E22</f>
        <v>0.564</v>
      </c>
      <c r="BF93" s="87">
        <f>BD93*权重调整机制!K36</f>
        <v>0.752</v>
      </c>
      <c r="BG93" s="87" t="s">
        <v>1122</v>
      </c>
      <c r="BH93" s="87">
        <v>10</v>
      </c>
      <c r="BI93" s="87">
        <f>BH93*初始权重设定说明!E22</f>
        <v>3</v>
      </c>
      <c r="BJ93" s="87">
        <f>BH93*权重调整机制!K36</f>
        <v>4</v>
      </c>
      <c r="BK93" s="86" t="s">
        <v>1123</v>
      </c>
      <c r="BL93" s="87">
        <v>4.5</v>
      </c>
      <c r="BM93" s="87">
        <f>BL93*初始权重设定说明!E22</f>
        <v>1.35</v>
      </c>
      <c r="BN93" s="87">
        <f>BL93*权重调整机制!K36</f>
        <v>1.8</v>
      </c>
      <c r="BO93" s="86" t="s">
        <v>1124</v>
      </c>
      <c r="BP93" s="87">
        <v>4.83</v>
      </c>
      <c r="BQ93" s="87">
        <f>BP93*初始权重设定说明!E22</f>
        <v>1.449</v>
      </c>
      <c r="BR93" s="87">
        <f>BP93*权重调整机制!K36</f>
        <v>1.932</v>
      </c>
      <c r="BS93" s="86" t="s">
        <v>1125</v>
      </c>
      <c r="BT93" s="87">
        <v>0.96</v>
      </c>
      <c r="BU93" s="87">
        <f>BT93*初始权重设定说明!E22</f>
        <v>0.288</v>
      </c>
      <c r="BV93" s="87">
        <f>BT93*权重调整机制!K36</f>
        <v>0.384</v>
      </c>
      <c r="BW93" s="87" t="s">
        <v>1126</v>
      </c>
      <c r="BX93" s="87">
        <v>5.26</v>
      </c>
      <c r="BY93" s="87">
        <f>BX93*初始权重设定说明!E22</f>
        <v>1.578</v>
      </c>
      <c r="BZ93" s="87">
        <f>BX93*权重调整机制!K36</f>
        <v>2.104</v>
      </c>
      <c r="CA93" s="86" t="s">
        <v>1127</v>
      </c>
      <c r="CB93" s="87">
        <v>0</v>
      </c>
      <c r="CC93" s="87">
        <f>CB93*初始权重设定说明!E22</f>
        <v>0</v>
      </c>
      <c r="CD93" s="87">
        <f>CB93*权重调整机制!K36</f>
        <v>0</v>
      </c>
      <c r="CE93" s="86" t="s">
        <v>1128</v>
      </c>
      <c r="CF93" s="87">
        <v>6.39</v>
      </c>
      <c r="CG93" s="87">
        <f>CF93*初始权重设定说明!E22</f>
        <v>1.917</v>
      </c>
      <c r="CH93" s="87">
        <f>CF93*权重调整机制!K36</f>
        <v>2.556</v>
      </c>
      <c r="CI93" s="86" t="s">
        <v>1129</v>
      </c>
      <c r="CJ93" s="87">
        <v>4.04</v>
      </c>
      <c r="CK93" s="87">
        <f>CJ93*初始权重设定说明!E22</f>
        <v>1.212</v>
      </c>
      <c r="CL93" s="87">
        <f>CJ93*权重调整机制!K36</f>
        <v>1.616</v>
      </c>
    </row>
    <row r="94" ht="17" customHeight="1" spans="1:90">
      <c r="A94" s="14"/>
      <c r="B94" s="14"/>
      <c r="C94" s="14"/>
      <c r="D94" s="14"/>
      <c r="E94" s="14"/>
      <c r="F94" s="14"/>
      <c r="G94" s="14"/>
      <c r="H94" s="14"/>
      <c r="I94" s="105" t="s">
        <v>613</v>
      </c>
      <c r="J94" s="80" t="s">
        <v>608</v>
      </c>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row>
    <row r="95" ht="17" customHeight="1" spans="1:90">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row>
    <row r="96" ht="17" customHeight="1" spans="1:90">
      <c r="A96" s="14"/>
      <c r="B96" s="14"/>
      <c r="C96" s="14"/>
      <c r="D96" s="14"/>
      <c r="E96" s="14"/>
      <c r="F96" s="14"/>
      <c r="G96" s="14"/>
      <c r="H96" s="14"/>
      <c r="I96" s="15"/>
      <c r="J96" s="15"/>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row>
    <row r="97" ht="17" customHeight="1" spans="1:90">
      <c r="A97" s="14"/>
      <c r="B97" s="15"/>
      <c r="C97" s="15"/>
      <c r="D97" s="15"/>
      <c r="E97" s="15"/>
      <c r="F97" s="15"/>
      <c r="G97" s="15"/>
      <c r="H97" s="15"/>
      <c r="I97" s="104" t="s">
        <v>615</v>
      </c>
      <c r="J97" s="79">
        <v>10</v>
      </c>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row>
    <row r="98" spans="1:90">
      <c r="A98" s="14"/>
      <c r="B98" s="99" t="s">
        <v>368</v>
      </c>
      <c r="C98" s="99" t="s">
        <v>639</v>
      </c>
      <c r="D98" s="100" t="s">
        <v>370</v>
      </c>
      <c r="E98" s="99" t="s">
        <v>601</v>
      </c>
      <c r="F98" s="99" t="s">
        <v>602</v>
      </c>
      <c r="G98" s="102"/>
      <c r="H98" s="100" t="s">
        <v>640</v>
      </c>
      <c r="I98" s="104" t="s">
        <v>604</v>
      </c>
      <c r="J98" s="104">
        <v>0</v>
      </c>
      <c r="K98" s="86" t="s">
        <v>1130</v>
      </c>
      <c r="L98" s="87">
        <v>2.11</v>
      </c>
      <c r="M98" s="87">
        <f>SUM(L98:L103)*初始权重设定说明!E23</f>
        <v>0.8</v>
      </c>
      <c r="N98" s="93">
        <f>SUM(L98:L103)*权重调整机制!K37</f>
        <v>0.8</v>
      </c>
      <c r="O98" s="86" t="s">
        <v>1130</v>
      </c>
      <c r="P98" s="87">
        <v>2.42</v>
      </c>
      <c r="Q98" s="87">
        <f>SUM(P98:P103)*初始权重设定说明!E23</f>
        <v>0.938</v>
      </c>
      <c r="R98" s="87">
        <f>SUM(P98:P103)*权重调整机制!K37</f>
        <v>0.938</v>
      </c>
      <c r="S98" s="86" t="s">
        <v>1130</v>
      </c>
      <c r="T98" s="87">
        <v>0</v>
      </c>
      <c r="U98" s="87">
        <f>SUM(T98:T103)*初始权重设定说明!E23</f>
        <v>0.644</v>
      </c>
      <c r="V98" s="87">
        <f>SUM(T98:T103)*权重调整机制!K37</f>
        <v>0.644</v>
      </c>
      <c r="W98" s="86" t="s">
        <v>1130</v>
      </c>
      <c r="X98" s="87">
        <v>0.24</v>
      </c>
      <c r="Y98" s="87">
        <f>SUM(X98:X103)*初始权重设定说明!E23</f>
        <v>1.448</v>
      </c>
      <c r="Z98" s="87">
        <f>SUM(X98:X103)*权重调整机制!K37</f>
        <v>1.448</v>
      </c>
      <c r="AA98" s="86" t="s">
        <v>1130</v>
      </c>
      <c r="AB98" s="87">
        <v>1.27</v>
      </c>
      <c r="AC98" s="87">
        <f>SUM(AB98:AB103)*初始权重设定说明!E23</f>
        <v>1.654</v>
      </c>
      <c r="AD98" s="87">
        <f>SUM(AB98:AB103)*权重调整机制!K37</f>
        <v>1.654</v>
      </c>
      <c r="AE98" s="86" t="s">
        <v>1130</v>
      </c>
      <c r="AF98" s="87">
        <v>0.84</v>
      </c>
      <c r="AG98" s="87">
        <f>SUM(AF98:AF103)*初始权重设定说明!E23</f>
        <v>0.244</v>
      </c>
      <c r="AH98" s="87">
        <f>SUM(AF98:AF103)*权重调整机制!K37</f>
        <v>0.244</v>
      </c>
      <c r="AI98" s="86" t="s">
        <v>1130</v>
      </c>
      <c r="AJ98" s="87">
        <v>3</v>
      </c>
      <c r="AK98" s="87">
        <f>SUM(AJ98:AJ103)*初始权重设定说明!E23</f>
        <v>0.94</v>
      </c>
      <c r="AL98" s="87">
        <f>SUM(AJ98:AJ103)*权重调整机制!K37</f>
        <v>0.94</v>
      </c>
      <c r="AM98" s="86" t="s">
        <v>1130</v>
      </c>
      <c r="AN98" s="87">
        <v>1.3</v>
      </c>
      <c r="AO98" s="87">
        <f>SUM(AN98:AN103)*初始权重设定说明!E23</f>
        <v>0.676</v>
      </c>
      <c r="AP98" s="87">
        <f>SUM(AN98:AN103)*权重调整机制!K37</f>
        <v>0.676</v>
      </c>
      <c r="AQ98" s="86" t="s">
        <v>1130</v>
      </c>
      <c r="AR98" s="87">
        <v>0.4</v>
      </c>
      <c r="AS98" s="87">
        <f>SUM(AR98:AR103)*初始权重设定说明!E23</f>
        <v>0.836</v>
      </c>
      <c r="AT98" s="87">
        <f>SUM(AR98:AR103)*权重调整机制!K37</f>
        <v>0.836</v>
      </c>
      <c r="AU98" s="86" t="s">
        <v>1130</v>
      </c>
      <c r="AV98" s="87">
        <v>1.27</v>
      </c>
      <c r="AW98" s="87">
        <f>SUM(AV98:AV103)*初始权重设定说明!E23</f>
        <v>0.822</v>
      </c>
      <c r="AX98" s="87">
        <f>SUM(AV98:AV103)*权重调整机制!K37</f>
        <v>0.822</v>
      </c>
      <c r="AY98" s="86" t="s">
        <v>1130</v>
      </c>
      <c r="AZ98" s="87">
        <v>3</v>
      </c>
      <c r="BA98" s="87">
        <f>SUM(AZ98:AZ103)*初始权重设定说明!E23</f>
        <v>0.864</v>
      </c>
      <c r="BB98" s="87">
        <f>SUM(AZ98:AZ103)*权重调整机制!K37</f>
        <v>0.864</v>
      </c>
      <c r="BC98" s="86" t="s">
        <v>1130</v>
      </c>
      <c r="BD98" s="87">
        <v>3</v>
      </c>
      <c r="BE98" s="87">
        <f>SUM(BD98:BD103)*初始权重设定说明!E23</f>
        <v>0.6</v>
      </c>
      <c r="BF98" s="87">
        <f>SUM(BD98:BD103)*权重调整机制!K37</f>
        <v>0.6</v>
      </c>
      <c r="BG98" s="86" t="s">
        <v>1130</v>
      </c>
      <c r="BH98" s="87">
        <v>2.17</v>
      </c>
      <c r="BI98" s="87">
        <f>SUM(BH98:BH103)*初始权重设定说明!E23</f>
        <v>1.834</v>
      </c>
      <c r="BJ98" s="87">
        <f>SUM(BH98:BH103)*权重调整机制!K37</f>
        <v>1.834</v>
      </c>
      <c r="BK98" s="86" t="s">
        <v>1130</v>
      </c>
      <c r="BL98" s="87">
        <v>1.76</v>
      </c>
      <c r="BM98" s="87">
        <f>SUM(BL98:BL103)*初始权重设定说明!E23</f>
        <v>0.466</v>
      </c>
      <c r="BN98" s="87">
        <f>SUM(BL98:BL103)*权重调整机制!K37</f>
        <v>0.466</v>
      </c>
      <c r="BO98" s="86" t="s">
        <v>1130</v>
      </c>
      <c r="BP98" s="87">
        <v>0.71</v>
      </c>
      <c r="BQ98" s="87">
        <f>SUM(BP98:BP103)*初始权重设定说明!E23</f>
        <v>0.824</v>
      </c>
      <c r="BR98" s="87">
        <f>SUM(BP98:BP103)*权重调整机制!K37</f>
        <v>0.824</v>
      </c>
      <c r="BS98" s="86" t="s">
        <v>1130</v>
      </c>
      <c r="BT98" s="87">
        <v>2.22</v>
      </c>
      <c r="BU98" s="87">
        <f>SUM(BT98:BT103)*初始权重设定说明!E23</f>
        <v>0.444</v>
      </c>
      <c r="BV98" s="87">
        <f>SUM(BT98:BT103)*权重调整机制!K37</f>
        <v>0.444</v>
      </c>
      <c r="BW98" s="86" t="s">
        <v>1130</v>
      </c>
      <c r="BX98" s="87">
        <v>0</v>
      </c>
      <c r="BY98" s="87">
        <f>SUM(BX98:BX103)*初始权重设定说明!E23</f>
        <v>0.228</v>
      </c>
      <c r="BZ98" s="87">
        <f>SUM(BX98:BX103)*权重调整机制!K37</f>
        <v>0.228</v>
      </c>
      <c r="CA98" s="86" t="s">
        <v>1130</v>
      </c>
      <c r="CB98" s="87">
        <v>1.9</v>
      </c>
      <c r="CC98" s="87">
        <f>SUM(CB98:CB103)*初始权重设定说明!E23</f>
        <v>0.38</v>
      </c>
      <c r="CD98" s="87">
        <f>SUM(CB98:CB103)*权重调整机制!K37</f>
        <v>0.38</v>
      </c>
      <c r="CE98" s="86" t="s">
        <v>1130</v>
      </c>
      <c r="CF98" s="87">
        <v>2.89</v>
      </c>
      <c r="CG98" s="87">
        <f>SUM(CF98:CF103)*初始权重设定说明!E23</f>
        <v>0.994</v>
      </c>
      <c r="CH98" s="87">
        <f>SUM(CF98:CF103)*权重调整机制!K37</f>
        <v>0.994</v>
      </c>
      <c r="CI98" s="86" t="s">
        <v>1130</v>
      </c>
      <c r="CJ98" s="87">
        <v>2.52</v>
      </c>
      <c r="CK98" s="87">
        <f>SUM(CJ98:CJ103)*初始权重设定说明!E23</f>
        <v>1.866</v>
      </c>
      <c r="CL98" s="87">
        <f>SUM(CJ98:CJ103)*权重调整机制!K37</f>
        <v>1.866</v>
      </c>
    </row>
    <row r="99" ht="101" customHeight="1" spans="1:90">
      <c r="A99" s="14"/>
      <c r="B99" s="14"/>
      <c r="C99" s="14"/>
      <c r="D99" s="14"/>
      <c r="E99" s="14"/>
      <c r="F99" s="14"/>
      <c r="G99" s="14"/>
      <c r="H99" s="14"/>
      <c r="I99" s="104" t="s">
        <v>607</v>
      </c>
      <c r="J99" s="100" t="s">
        <v>608</v>
      </c>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row>
    <row r="100" spans="1:90">
      <c r="A100" s="14"/>
      <c r="B100" s="14"/>
      <c r="C100" s="14"/>
      <c r="D100" s="14"/>
      <c r="E100" s="14"/>
      <c r="F100" s="15"/>
      <c r="G100" s="14"/>
      <c r="H100" s="15"/>
      <c r="I100" s="104" t="s">
        <v>609</v>
      </c>
      <c r="J100" s="104">
        <v>10</v>
      </c>
      <c r="K100" s="15"/>
      <c r="L100" s="15"/>
      <c r="M100" s="14"/>
      <c r="N100" s="14"/>
      <c r="O100" s="15"/>
      <c r="P100" s="15"/>
      <c r="Q100" s="14"/>
      <c r="R100" s="14"/>
      <c r="S100" s="15"/>
      <c r="T100" s="15"/>
      <c r="U100" s="14"/>
      <c r="V100" s="14"/>
      <c r="W100" s="15"/>
      <c r="X100" s="15"/>
      <c r="Y100" s="14"/>
      <c r="Z100" s="14"/>
      <c r="AA100" s="15"/>
      <c r="AB100" s="15"/>
      <c r="AC100" s="14"/>
      <c r="AD100" s="14"/>
      <c r="AE100" s="15"/>
      <c r="AF100" s="15"/>
      <c r="AG100" s="14"/>
      <c r="AH100" s="14"/>
      <c r="AI100" s="15"/>
      <c r="AJ100" s="15"/>
      <c r="AK100" s="14"/>
      <c r="AL100" s="14"/>
      <c r="AM100" s="15"/>
      <c r="AN100" s="15"/>
      <c r="AO100" s="14"/>
      <c r="AP100" s="14"/>
      <c r="AQ100" s="15"/>
      <c r="AR100" s="15"/>
      <c r="AS100" s="14"/>
      <c r="AT100" s="14"/>
      <c r="AU100" s="15"/>
      <c r="AV100" s="15"/>
      <c r="AW100" s="14"/>
      <c r="AX100" s="14"/>
      <c r="AY100" s="15"/>
      <c r="AZ100" s="15"/>
      <c r="BA100" s="14"/>
      <c r="BB100" s="14"/>
      <c r="BC100" s="15"/>
      <c r="BD100" s="15"/>
      <c r="BE100" s="14"/>
      <c r="BF100" s="14"/>
      <c r="BG100" s="15"/>
      <c r="BH100" s="15"/>
      <c r="BI100" s="14"/>
      <c r="BJ100" s="14"/>
      <c r="BK100" s="15"/>
      <c r="BL100" s="15"/>
      <c r="BM100" s="14"/>
      <c r="BN100" s="14"/>
      <c r="BO100" s="15"/>
      <c r="BP100" s="15"/>
      <c r="BQ100" s="14"/>
      <c r="BR100" s="14"/>
      <c r="BS100" s="15"/>
      <c r="BT100" s="15"/>
      <c r="BU100" s="14"/>
      <c r="BV100" s="14"/>
      <c r="BW100" s="15"/>
      <c r="BX100" s="15"/>
      <c r="BY100" s="14"/>
      <c r="BZ100" s="14"/>
      <c r="CA100" s="15"/>
      <c r="CB100" s="15"/>
      <c r="CC100" s="14"/>
      <c r="CD100" s="14"/>
      <c r="CE100" s="15"/>
      <c r="CF100" s="15"/>
      <c r="CG100" s="14"/>
      <c r="CH100" s="14"/>
      <c r="CI100" s="15"/>
      <c r="CJ100" s="15"/>
      <c r="CK100" s="14"/>
      <c r="CL100" s="14"/>
    </row>
    <row r="101" spans="1:90">
      <c r="A101" s="14"/>
      <c r="B101" s="14"/>
      <c r="C101" s="14"/>
      <c r="D101" s="14"/>
      <c r="E101" s="14"/>
      <c r="F101" s="99" t="s">
        <v>610</v>
      </c>
      <c r="G101" s="14"/>
      <c r="H101" s="100" t="s">
        <v>641</v>
      </c>
      <c r="I101" s="104" t="s">
        <v>618</v>
      </c>
      <c r="J101" s="104">
        <v>0</v>
      </c>
      <c r="K101" s="86" t="s">
        <v>1131</v>
      </c>
      <c r="L101" s="87">
        <v>1.89</v>
      </c>
      <c r="M101" s="14"/>
      <c r="N101" s="14"/>
      <c r="O101" s="86" t="s">
        <v>1131</v>
      </c>
      <c r="P101" s="87">
        <v>2.27</v>
      </c>
      <c r="Q101" s="14"/>
      <c r="R101" s="14"/>
      <c r="S101" s="86" t="s">
        <v>1131</v>
      </c>
      <c r="T101" s="87">
        <v>3.22</v>
      </c>
      <c r="U101" s="14"/>
      <c r="V101" s="14"/>
      <c r="W101" s="86" t="s">
        <v>1131</v>
      </c>
      <c r="X101" s="87">
        <v>7</v>
      </c>
      <c r="Y101" s="14"/>
      <c r="Z101" s="14"/>
      <c r="AA101" s="86" t="s">
        <v>1131</v>
      </c>
      <c r="AB101" s="87">
        <v>7</v>
      </c>
      <c r="AC101" s="14"/>
      <c r="AD101" s="14"/>
      <c r="AE101" s="86" t="s">
        <v>1131</v>
      </c>
      <c r="AF101" s="87">
        <v>0.38</v>
      </c>
      <c r="AG101" s="14"/>
      <c r="AH101" s="14"/>
      <c r="AI101" s="86" t="s">
        <v>1131</v>
      </c>
      <c r="AJ101" s="87">
        <v>1.7</v>
      </c>
      <c r="AK101" s="14"/>
      <c r="AL101" s="14"/>
      <c r="AM101" s="86" t="s">
        <v>1131</v>
      </c>
      <c r="AN101" s="87">
        <v>2.08</v>
      </c>
      <c r="AO101" s="14"/>
      <c r="AP101" s="14"/>
      <c r="AQ101" s="86" t="s">
        <v>1131</v>
      </c>
      <c r="AR101" s="87">
        <v>3.78</v>
      </c>
      <c r="AS101" s="14"/>
      <c r="AT101" s="14"/>
      <c r="AU101" s="86" t="s">
        <v>1131</v>
      </c>
      <c r="AV101" s="87">
        <v>2.84</v>
      </c>
      <c r="AW101" s="14"/>
      <c r="AX101" s="14"/>
      <c r="AY101" s="86" t="s">
        <v>1131</v>
      </c>
      <c r="AZ101" s="87">
        <v>1.32</v>
      </c>
      <c r="BA101" s="14"/>
      <c r="BB101" s="14"/>
      <c r="BC101" s="86" t="s">
        <v>1131</v>
      </c>
      <c r="BD101" s="87">
        <v>0</v>
      </c>
      <c r="BE101" s="14"/>
      <c r="BF101" s="14"/>
      <c r="BG101" s="86" t="s">
        <v>1131</v>
      </c>
      <c r="BH101" s="87">
        <v>7</v>
      </c>
      <c r="BI101" s="14"/>
      <c r="BJ101" s="14"/>
      <c r="BK101" s="86" t="s">
        <v>1131</v>
      </c>
      <c r="BL101" s="87">
        <v>0.57</v>
      </c>
      <c r="BM101" s="14"/>
      <c r="BN101" s="14"/>
      <c r="BO101" s="86" t="s">
        <v>1131</v>
      </c>
      <c r="BP101" s="87">
        <v>3.41</v>
      </c>
      <c r="BQ101" s="14"/>
      <c r="BR101" s="14"/>
      <c r="BS101" s="86" t="s">
        <v>1131</v>
      </c>
      <c r="BT101" s="87">
        <v>0</v>
      </c>
      <c r="BU101" s="14"/>
      <c r="BV101" s="14"/>
      <c r="BW101" s="86" t="s">
        <v>1131</v>
      </c>
      <c r="BX101" s="87">
        <v>1.14</v>
      </c>
      <c r="BY101" s="14"/>
      <c r="BZ101" s="14"/>
      <c r="CA101" s="86" t="s">
        <v>1131</v>
      </c>
      <c r="CB101" s="87">
        <v>0</v>
      </c>
      <c r="CC101" s="14"/>
      <c r="CD101" s="14"/>
      <c r="CE101" s="86" t="s">
        <v>1131</v>
      </c>
      <c r="CF101" s="87">
        <v>2.08</v>
      </c>
      <c r="CG101" s="14"/>
      <c r="CH101" s="14"/>
      <c r="CI101" s="86" t="s">
        <v>1131</v>
      </c>
      <c r="CJ101" s="87">
        <v>6.81</v>
      </c>
      <c r="CK101" s="14"/>
      <c r="CL101" s="14"/>
    </row>
    <row r="102" ht="84" customHeight="1" spans="1:90">
      <c r="A102" s="14"/>
      <c r="B102" s="14"/>
      <c r="C102" s="14"/>
      <c r="D102" s="14"/>
      <c r="E102" s="14"/>
      <c r="F102" s="14"/>
      <c r="G102" s="14"/>
      <c r="H102" s="14"/>
      <c r="I102" s="104" t="s">
        <v>613</v>
      </c>
      <c r="J102" s="100" t="s">
        <v>619</v>
      </c>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c r="CJ102" s="14"/>
      <c r="CK102" s="14"/>
      <c r="CL102" s="14"/>
    </row>
    <row r="103" spans="1:90">
      <c r="A103" s="14"/>
      <c r="B103" s="14"/>
      <c r="C103" s="15"/>
      <c r="D103" s="15"/>
      <c r="E103" s="15"/>
      <c r="F103" s="15"/>
      <c r="G103" s="15"/>
      <c r="H103" s="15"/>
      <c r="I103" s="104" t="s">
        <v>615</v>
      </c>
      <c r="J103" s="104">
        <v>10</v>
      </c>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row>
    <row r="104" spans="1:90">
      <c r="A104" s="14"/>
      <c r="B104" s="14"/>
      <c r="C104" s="99" t="s">
        <v>391</v>
      </c>
      <c r="D104" s="100" t="s">
        <v>392</v>
      </c>
      <c r="E104" s="99" t="s">
        <v>601</v>
      </c>
      <c r="F104" s="99" t="s">
        <v>602</v>
      </c>
      <c r="G104" s="102"/>
      <c r="H104" s="100" t="s">
        <v>642</v>
      </c>
      <c r="I104" s="104" t="s">
        <v>604</v>
      </c>
      <c r="J104" s="104">
        <v>0</v>
      </c>
      <c r="K104" s="86" t="s">
        <v>1132</v>
      </c>
      <c r="L104" s="87">
        <v>0.28</v>
      </c>
      <c r="M104" s="87">
        <f>SUM(L104:L109)*初始权重设定说明!E24</f>
        <v>0.256</v>
      </c>
      <c r="N104" s="93">
        <f>SUM(L104:L109)*权重调整机制!K38</f>
        <v>0.128</v>
      </c>
      <c r="O104" s="90" t="s">
        <v>1133</v>
      </c>
      <c r="P104" s="87">
        <v>0</v>
      </c>
      <c r="Q104" s="87">
        <f>SUM(P104:P109)*初始权重设定说明!E24</f>
        <v>0.05</v>
      </c>
      <c r="R104" s="87">
        <f>SUM(P104:P109)*权重调整机制!K38</f>
        <v>0.025</v>
      </c>
      <c r="S104" s="91" t="s">
        <v>1134</v>
      </c>
      <c r="T104" s="91">
        <v>0</v>
      </c>
      <c r="U104" s="91">
        <f>SUM(T104:T109)*初始权重设定说明!E24</f>
        <v>0</v>
      </c>
      <c r="V104" s="91">
        <f>SUM(T104:T109)*权重调整机制!K38</f>
        <v>0</v>
      </c>
      <c r="W104" s="90" t="s">
        <v>1135</v>
      </c>
      <c r="X104" s="91">
        <v>0</v>
      </c>
      <c r="Y104" s="91">
        <f>SUM(X104:X109)*初始权重设定说明!E24</f>
        <v>0</v>
      </c>
      <c r="Z104" s="91">
        <f>SUM(X104:X109)*权重调整机制!K38</f>
        <v>0</v>
      </c>
      <c r="AA104" s="86" t="s">
        <v>1136</v>
      </c>
      <c r="AB104" s="87">
        <v>0.13</v>
      </c>
      <c r="AC104" s="87">
        <f>SUM(AB104:AB109)*初始权重设定说明!E24</f>
        <v>0.026</v>
      </c>
      <c r="AD104" s="87">
        <f>SUM(AB104:AB109)*权重调整机制!K38</f>
        <v>0.013</v>
      </c>
      <c r="AE104" s="86" t="s">
        <v>1137</v>
      </c>
      <c r="AF104" s="87">
        <v>0</v>
      </c>
      <c r="AG104" s="87">
        <f>SUM(AF104:AF109)*初始权重设定说明!E24</f>
        <v>0.03</v>
      </c>
      <c r="AH104" s="87">
        <f>SUM(AF104:AF109)*权重调整机制!K38</f>
        <v>0.015</v>
      </c>
      <c r="AI104" s="90" t="s">
        <v>1138</v>
      </c>
      <c r="AJ104" s="87">
        <v>0</v>
      </c>
      <c r="AK104" s="87">
        <f>SUM(AJ104:AJ109)*初始权重设定说明!E24</f>
        <v>0.05</v>
      </c>
      <c r="AL104" s="87">
        <f>SUM(AJ104:AJ109)*权重调整机制!K38</f>
        <v>0.025</v>
      </c>
      <c r="AM104" s="90" t="s">
        <v>1139</v>
      </c>
      <c r="AN104" s="91">
        <v>0</v>
      </c>
      <c r="AO104" s="91">
        <f>SUM(AN104:AN109)*初始权重设定说明!E24</f>
        <v>0</v>
      </c>
      <c r="AP104" s="91">
        <f>SUM(AN104:AN109)*权重调整机制!K38</f>
        <v>0</v>
      </c>
      <c r="AQ104" s="90" t="s">
        <v>1140</v>
      </c>
      <c r="AR104" s="91">
        <v>0</v>
      </c>
      <c r="AS104" s="91">
        <f>SUM(AR104:AR109)*初始权重设定说明!E24</f>
        <v>0</v>
      </c>
      <c r="AT104" s="91">
        <f>SUM(AR104:AR109)*权重调整机制!K38</f>
        <v>0</v>
      </c>
      <c r="AU104" s="90" t="s">
        <v>1139</v>
      </c>
      <c r="AV104" s="91">
        <v>0</v>
      </c>
      <c r="AW104" s="91">
        <f>SUM(AV104:AV109)*初始权重设定说明!E24</f>
        <v>0</v>
      </c>
      <c r="AX104" s="91">
        <f>SUM(AV104:AV109)*权重调整机制!K38</f>
        <v>0</v>
      </c>
      <c r="AY104" s="91" t="s">
        <v>1139</v>
      </c>
      <c r="AZ104" s="91">
        <v>0</v>
      </c>
      <c r="BA104" s="91">
        <f>SUM(AZ104:AZ109)*初始权重设定说明!E24</f>
        <v>0</v>
      </c>
      <c r="BB104" s="91">
        <f>SUM(AZ104:AZ109)*权重调整机制!K38</f>
        <v>0</v>
      </c>
      <c r="BC104" s="91" t="s">
        <v>1139</v>
      </c>
      <c r="BD104" s="91">
        <v>0</v>
      </c>
      <c r="BE104" s="91">
        <f>SUM(BD104:BD109)*初始权重设定说明!E24</f>
        <v>0</v>
      </c>
      <c r="BF104" s="91">
        <f>SUM(BD104:BD109)*权重调整机制!K38</f>
        <v>0</v>
      </c>
      <c r="BG104" s="91" t="s">
        <v>1139</v>
      </c>
      <c r="BH104" s="91">
        <v>0</v>
      </c>
      <c r="BI104" s="91">
        <f>SUM(BH104:BH109)*初始权重设定说明!E24</f>
        <v>0</v>
      </c>
      <c r="BJ104" s="91">
        <f>SUM(BH104:BH109)*权重调整机制!K38</f>
        <v>0</v>
      </c>
      <c r="BK104" s="86" t="s">
        <v>1141</v>
      </c>
      <c r="BL104" s="87">
        <v>0.42</v>
      </c>
      <c r="BM104" s="87">
        <f>SUM(BL104:BL109)*初始权重设定说明!E24</f>
        <v>0.234</v>
      </c>
      <c r="BN104" s="87">
        <f>SUM(BL104:BL109)*权重调整机制!K38</f>
        <v>0.117</v>
      </c>
      <c r="BO104" s="86" t="s">
        <v>1142</v>
      </c>
      <c r="BP104" s="87">
        <v>3</v>
      </c>
      <c r="BQ104" s="87">
        <f>SUM(BP104:BP109)*初始权重设定说明!E24</f>
        <v>2</v>
      </c>
      <c r="BR104" s="87">
        <f>SUM(BP104:BP109)*权重调整机制!K38</f>
        <v>1</v>
      </c>
      <c r="BS104" s="91" t="s">
        <v>1139</v>
      </c>
      <c r="BT104" s="91">
        <v>0</v>
      </c>
      <c r="BU104" s="91">
        <f>SUM(BT104:BT109)*初始权重设定说明!E24</f>
        <v>0</v>
      </c>
      <c r="BV104" s="91">
        <f>SUM(BT104:BT109)*权重调整机制!K38</f>
        <v>0</v>
      </c>
      <c r="BW104" s="91" t="s">
        <v>1143</v>
      </c>
      <c r="BX104" s="91">
        <v>0</v>
      </c>
      <c r="BY104" s="91">
        <f>SUM(BX104:BX109)*初始权重设定说明!E24</f>
        <v>0</v>
      </c>
      <c r="BZ104" s="91">
        <f>SUM(BX104:BX109)*权重调整机制!K38</f>
        <v>0</v>
      </c>
      <c r="CA104" s="91" t="s">
        <v>1139</v>
      </c>
      <c r="CB104" s="91">
        <v>0</v>
      </c>
      <c r="CC104" s="91">
        <f>SUM(CB104:CB109)*初始权重设定说明!E24</f>
        <v>0</v>
      </c>
      <c r="CD104" s="91">
        <f>SUM(CB104:CB109)*权重调整机制!K38</f>
        <v>0</v>
      </c>
      <c r="CE104" s="91" t="s">
        <v>1144</v>
      </c>
      <c r="CF104" s="91">
        <v>0</v>
      </c>
      <c r="CG104" s="91">
        <f>SUM(CF104:CF109)*初始权重设定说明!E24</f>
        <v>0</v>
      </c>
      <c r="CH104" s="91">
        <f>SUM(CF104:CF109)*权重调整机制!K38</f>
        <v>0</v>
      </c>
      <c r="CI104" s="91" t="s">
        <v>1139</v>
      </c>
      <c r="CJ104" s="91">
        <v>0</v>
      </c>
      <c r="CK104" s="91">
        <f>SUM(CJ104:CJ109)*初始权重设定说明!E24</f>
        <v>0</v>
      </c>
      <c r="CL104" s="91">
        <f>SUM(CJ104:CJ109)*权重调整机制!K38</f>
        <v>0</v>
      </c>
    </row>
    <row r="105" ht="101" customHeight="1" spans="1:90">
      <c r="A105" s="14"/>
      <c r="B105" s="14"/>
      <c r="C105" s="14"/>
      <c r="D105" s="14"/>
      <c r="E105" s="14"/>
      <c r="F105" s="14"/>
      <c r="G105" s="14"/>
      <c r="H105" s="14"/>
      <c r="I105" s="104" t="s">
        <v>607</v>
      </c>
      <c r="J105" s="100" t="s">
        <v>608</v>
      </c>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row>
    <row r="106" spans="1:90">
      <c r="A106" s="14"/>
      <c r="B106" s="14"/>
      <c r="C106" s="14"/>
      <c r="D106" s="14"/>
      <c r="E106" s="14"/>
      <c r="F106" s="15"/>
      <c r="G106" s="14"/>
      <c r="H106" s="15"/>
      <c r="I106" s="104" t="s">
        <v>609</v>
      </c>
      <c r="J106" s="104">
        <v>10</v>
      </c>
      <c r="K106" s="15"/>
      <c r="L106" s="15"/>
      <c r="M106" s="14"/>
      <c r="N106" s="14"/>
      <c r="O106" s="15"/>
      <c r="P106" s="15"/>
      <c r="Q106" s="14"/>
      <c r="R106" s="14"/>
      <c r="S106" s="15"/>
      <c r="T106" s="15"/>
      <c r="U106" s="14"/>
      <c r="V106" s="14"/>
      <c r="W106" s="15"/>
      <c r="X106" s="15"/>
      <c r="Y106" s="14"/>
      <c r="Z106" s="14"/>
      <c r="AA106" s="15"/>
      <c r="AB106" s="15"/>
      <c r="AC106" s="14"/>
      <c r="AD106" s="14"/>
      <c r="AE106" s="15"/>
      <c r="AF106" s="15"/>
      <c r="AG106" s="14"/>
      <c r="AH106" s="14"/>
      <c r="AI106" s="15"/>
      <c r="AJ106" s="15"/>
      <c r="AK106" s="14"/>
      <c r="AL106" s="14"/>
      <c r="AM106" s="15"/>
      <c r="AN106" s="15"/>
      <c r="AO106" s="14"/>
      <c r="AP106" s="14"/>
      <c r="AQ106" s="15"/>
      <c r="AR106" s="15"/>
      <c r="AS106" s="14"/>
      <c r="AT106" s="14"/>
      <c r="AU106" s="15"/>
      <c r="AV106" s="15"/>
      <c r="AW106" s="14"/>
      <c r="AX106" s="14"/>
      <c r="AY106" s="15"/>
      <c r="AZ106" s="15"/>
      <c r="BA106" s="14"/>
      <c r="BB106" s="14"/>
      <c r="BC106" s="15"/>
      <c r="BD106" s="15"/>
      <c r="BE106" s="14"/>
      <c r="BF106" s="14"/>
      <c r="BG106" s="15"/>
      <c r="BH106" s="15"/>
      <c r="BI106" s="14"/>
      <c r="BJ106" s="14"/>
      <c r="BK106" s="15"/>
      <c r="BL106" s="15"/>
      <c r="BM106" s="14"/>
      <c r="BN106" s="14"/>
      <c r="BO106" s="15"/>
      <c r="BP106" s="15"/>
      <c r="BQ106" s="14"/>
      <c r="BR106" s="14"/>
      <c r="BS106" s="15"/>
      <c r="BT106" s="15"/>
      <c r="BU106" s="14"/>
      <c r="BV106" s="14"/>
      <c r="BW106" s="15"/>
      <c r="BX106" s="15"/>
      <c r="BY106" s="14"/>
      <c r="BZ106" s="14"/>
      <c r="CA106" s="15"/>
      <c r="CB106" s="15"/>
      <c r="CC106" s="14"/>
      <c r="CD106" s="14"/>
      <c r="CE106" s="15"/>
      <c r="CF106" s="15"/>
      <c r="CG106" s="14"/>
      <c r="CH106" s="14"/>
      <c r="CI106" s="15"/>
      <c r="CJ106" s="15"/>
      <c r="CK106" s="14"/>
      <c r="CL106" s="14"/>
    </row>
    <row r="107" spans="1:90">
      <c r="A107" s="14"/>
      <c r="B107" s="14"/>
      <c r="C107" s="14"/>
      <c r="D107" s="14"/>
      <c r="E107" s="14"/>
      <c r="F107" s="99" t="s">
        <v>610</v>
      </c>
      <c r="G107" s="14"/>
      <c r="H107" s="100" t="s">
        <v>643</v>
      </c>
      <c r="I107" s="104" t="s">
        <v>618</v>
      </c>
      <c r="J107" s="104">
        <v>0</v>
      </c>
      <c r="K107" s="86" t="s">
        <v>1145</v>
      </c>
      <c r="L107" s="87">
        <v>1</v>
      </c>
      <c r="M107" s="14"/>
      <c r="N107" s="14"/>
      <c r="O107" s="86" t="s">
        <v>1146</v>
      </c>
      <c r="P107" s="87">
        <v>0.25</v>
      </c>
      <c r="Q107" s="14"/>
      <c r="R107" s="14"/>
      <c r="S107" s="91" t="s">
        <v>1134</v>
      </c>
      <c r="T107" s="91">
        <v>0</v>
      </c>
      <c r="U107" s="14"/>
      <c r="V107" s="14"/>
      <c r="W107" s="90" t="s">
        <v>1147</v>
      </c>
      <c r="X107" s="91">
        <v>0</v>
      </c>
      <c r="Y107" s="14"/>
      <c r="Z107" s="14"/>
      <c r="AA107" s="86" t="s">
        <v>1148</v>
      </c>
      <c r="AB107" s="87">
        <v>0</v>
      </c>
      <c r="AC107" s="14"/>
      <c r="AD107" s="14"/>
      <c r="AE107" s="86" t="s">
        <v>1149</v>
      </c>
      <c r="AF107" s="87">
        <v>0.15</v>
      </c>
      <c r="AG107" s="14"/>
      <c r="AH107" s="14"/>
      <c r="AI107" s="86" t="s">
        <v>1150</v>
      </c>
      <c r="AJ107" s="87">
        <v>0.25</v>
      </c>
      <c r="AK107" s="14"/>
      <c r="AL107" s="14"/>
      <c r="AM107" s="90" t="s">
        <v>1139</v>
      </c>
      <c r="AN107" s="91">
        <v>0</v>
      </c>
      <c r="AO107" s="14"/>
      <c r="AP107" s="14"/>
      <c r="AQ107" s="90" t="s">
        <v>1140</v>
      </c>
      <c r="AR107" s="91">
        <v>0</v>
      </c>
      <c r="AS107" s="14"/>
      <c r="AT107" s="14"/>
      <c r="AU107" s="90" t="s">
        <v>1139</v>
      </c>
      <c r="AV107" s="91">
        <v>0</v>
      </c>
      <c r="AW107" s="14"/>
      <c r="AX107" s="14"/>
      <c r="AY107" s="91" t="s">
        <v>1139</v>
      </c>
      <c r="AZ107" s="91">
        <v>0</v>
      </c>
      <c r="BA107" s="14"/>
      <c r="BB107" s="14"/>
      <c r="BC107" s="91" t="s">
        <v>1139</v>
      </c>
      <c r="BD107" s="91">
        <v>0</v>
      </c>
      <c r="BE107" s="14"/>
      <c r="BF107" s="14"/>
      <c r="BG107" s="91" t="s">
        <v>1139</v>
      </c>
      <c r="BH107" s="91">
        <v>0</v>
      </c>
      <c r="BI107" s="14"/>
      <c r="BJ107" s="14"/>
      <c r="BK107" s="86" t="s">
        <v>1151</v>
      </c>
      <c r="BL107" s="87">
        <v>0.75</v>
      </c>
      <c r="BM107" s="14"/>
      <c r="BN107" s="14"/>
      <c r="BO107" s="86" t="s">
        <v>1152</v>
      </c>
      <c r="BP107" s="87">
        <v>7</v>
      </c>
      <c r="BQ107" s="14"/>
      <c r="BR107" s="14"/>
      <c r="BS107" s="91" t="s">
        <v>1139</v>
      </c>
      <c r="BT107" s="91">
        <v>0</v>
      </c>
      <c r="BU107" s="14"/>
      <c r="BV107" s="14"/>
      <c r="BW107" s="91" t="s">
        <v>1143</v>
      </c>
      <c r="BX107" s="91">
        <v>0</v>
      </c>
      <c r="BY107" s="14"/>
      <c r="BZ107" s="14"/>
      <c r="CA107" s="91" t="s">
        <v>1139</v>
      </c>
      <c r="CB107" s="91">
        <v>0</v>
      </c>
      <c r="CC107" s="14"/>
      <c r="CD107" s="14"/>
      <c r="CE107" s="91" t="s">
        <v>1144</v>
      </c>
      <c r="CF107" s="91">
        <v>0</v>
      </c>
      <c r="CG107" s="14"/>
      <c r="CH107" s="14"/>
      <c r="CI107" s="91" t="s">
        <v>1139</v>
      </c>
      <c r="CJ107" s="91">
        <v>0</v>
      </c>
      <c r="CK107" s="14"/>
      <c r="CL107" s="14"/>
    </row>
    <row r="108" ht="84" customHeight="1" spans="1:90">
      <c r="A108" s="14"/>
      <c r="B108" s="14"/>
      <c r="C108" s="14"/>
      <c r="D108" s="14"/>
      <c r="E108" s="14"/>
      <c r="F108" s="14"/>
      <c r="G108" s="14"/>
      <c r="H108" s="14"/>
      <c r="I108" s="104" t="s">
        <v>613</v>
      </c>
      <c r="J108" s="100" t="s">
        <v>619</v>
      </c>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c r="CD108" s="14"/>
      <c r="CE108" s="14"/>
      <c r="CF108" s="14"/>
      <c r="CG108" s="14"/>
      <c r="CH108" s="14"/>
      <c r="CI108" s="14"/>
      <c r="CJ108" s="14"/>
      <c r="CK108" s="14"/>
      <c r="CL108" s="14"/>
    </row>
    <row r="109" spans="1:90">
      <c r="A109" s="14"/>
      <c r="B109" s="14"/>
      <c r="C109" s="15"/>
      <c r="D109" s="15"/>
      <c r="E109" s="15"/>
      <c r="F109" s="15"/>
      <c r="G109" s="15"/>
      <c r="H109" s="15"/>
      <c r="I109" s="104" t="s">
        <v>615</v>
      </c>
      <c r="J109" s="104">
        <v>10</v>
      </c>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row>
    <row r="110" spans="1:90">
      <c r="A110" s="14"/>
      <c r="B110" s="14"/>
      <c r="C110" s="99" t="s">
        <v>404</v>
      </c>
      <c r="D110" s="101" t="s">
        <v>405</v>
      </c>
      <c r="E110" s="99" t="s">
        <v>601</v>
      </c>
      <c r="F110" s="99" t="s">
        <v>602</v>
      </c>
      <c r="G110" s="100"/>
      <c r="H110" s="100" t="s">
        <v>644</v>
      </c>
      <c r="I110" s="104" t="s">
        <v>604</v>
      </c>
      <c r="J110" s="104">
        <v>0</v>
      </c>
      <c r="K110" s="86" t="s">
        <v>1153</v>
      </c>
      <c r="L110" s="87">
        <v>0.91</v>
      </c>
      <c r="M110" s="87">
        <f>SUM(L110:L115)*初始权重设定说明!E25</f>
        <v>0.48</v>
      </c>
      <c r="N110" s="93">
        <f>SUM(L110:L115)*权重调整机制!K39</f>
        <v>0.48</v>
      </c>
      <c r="O110" s="86" t="s">
        <v>1154</v>
      </c>
      <c r="P110" s="87">
        <v>0.28</v>
      </c>
      <c r="Q110" s="87">
        <f>SUM(P110:P115)*初始权重设定说明!E25</f>
        <v>0.08</v>
      </c>
      <c r="R110" s="87">
        <f>SUM(P110:P115)*权重调整机制!K39</f>
        <v>0.08</v>
      </c>
      <c r="S110" s="86" t="s">
        <v>1155</v>
      </c>
      <c r="T110" s="87">
        <v>1.06</v>
      </c>
      <c r="U110" s="87">
        <f>SUM(T110:T115)*初始权重设定说明!E25</f>
        <v>0.287</v>
      </c>
      <c r="V110" s="87">
        <f>SUM(T110:T115)*权重调整机制!K39</f>
        <v>0.287</v>
      </c>
      <c r="W110" s="86" t="s">
        <v>1156</v>
      </c>
      <c r="X110" s="87">
        <v>2.26</v>
      </c>
      <c r="Y110" s="87">
        <f>SUM(X110:X115)*初始权重设定说明!E25</f>
        <v>0.563</v>
      </c>
      <c r="Z110" s="87">
        <f>SUM(X110:X115)*权重调整机制!K39</f>
        <v>0.563</v>
      </c>
      <c r="AA110" s="86" t="s">
        <v>1157</v>
      </c>
      <c r="AB110" s="87">
        <v>1.44</v>
      </c>
      <c r="AC110" s="87">
        <f>SUM(AB110:AB115)*初始权重设定说明!E25</f>
        <v>0.183</v>
      </c>
      <c r="AD110" s="87">
        <f>SUM(AB110:AB115)*权重调整机制!K39</f>
        <v>0.183</v>
      </c>
      <c r="AE110" s="86" t="s">
        <v>1158</v>
      </c>
      <c r="AF110" s="87">
        <v>0.75</v>
      </c>
      <c r="AG110" s="87">
        <f>SUM(AF110:AF115)*初始权重设定说明!E25</f>
        <v>0.749</v>
      </c>
      <c r="AH110" s="87">
        <f>SUM(AF110:AF115)*权重调整机制!K39</f>
        <v>0.749</v>
      </c>
      <c r="AI110" s="97" t="s">
        <v>1159</v>
      </c>
      <c r="AJ110" s="87">
        <v>1.13</v>
      </c>
      <c r="AK110" s="87">
        <f>SUM(AJ110:AJ115)*初始权重设定说明!E25</f>
        <v>0.165</v>
      </c>
      <c r="AL110" s="87">
        <f>SUM(AJ110:AJ115)*权重调整机制!K39</f>
        <v>0.165</v>
      </c>
      <c r="AM110" s="86" t="s">
        <v>1160</v>
      </c>
      <c r="AN110" s="87">
        <v>1</v>
      </c>
      <c r="AO110" s="87">
        <f>SUM(AN110:AN115)*初始权重设定说明!E25</f>
        <v>0.67</v>
      </c>
      <c r="AP110" s="87">
        <f>SUM(AN110:AN115)*权重调整机制!K39</f>
        <v>0.67</v>
      </c>
      <c r="AQ110" s="86" t="s">
        <v>1161</v>
      </c>
      <c r="AR110" s="87">
        <v>3</v>
      </c>
      <c r="AS110" s="87">
        <f>SUM(AR110:AR115)*初始权重设定说明!E25</f>
        <v>0.469</v>
      </c>
      <c r="AT110" s="87">
        <f>SUM(AR110:AR115)*权重调整机制!K39</f>
        <v>0.469</v>
      </c>
      <c r="AU110" s="86" t="s">
        <v>1162</v>
      </c>
      <c r="AV110" s="87">
        <v>1.39</v>
      </c>
      <c r="AW110" s="87">
        <f>SUM(AV110:AV115)*初始权重设定说明!E25</f>
        <v>0.722</v>
      </c>
      <c r="AX110" s="87">
        <f>SUM(AV110:AV115)*权重调整机制!K39</f>
        <v>0.722</v>
      </c>
      <c r="AY110" s="86" t="s">
        <v>1155</v>
      </c>
      <c r="AZ110" s="87">
        <v>0.61</v>
      </c>
      <c r="BA110" s="87">
        <f>SUM(AZ110:AZ115)*初始权重设定说明!E25</f>
        <v>0.761</v>
      </c>
      <c r="BB110" s="87">
        <f>SUM(AZ110:AZ115)*权重调整机制!K39</f>
        <v>0.761</v>
      </c>
      <c r="BC110" s="86" t="s">
        <v>1163</v>
      </c>
      <c r="BD110" s="87">
        <v>0.78</v>
      </c>
      <c r="BE110" s="87">
        <f>SUM(BD110:BD115)*初始权重设定说明!E25</f>
        <v>0.493</v>
      </c>
      <c r="BF110" s="87">
        <f>SUM(BD110:BD115)*权重调整机制!K39</f>
        <v>0.493</v>
      </c>
      <c r="BG110" s="86" t="s">
        <v>1164</v>
      </c>
      <c r="BH110" s="87">
        <v>0.22</v>
      </c>
      <c r="BI110" s="87">
        <f>SUM(BH110:BH115)*初始权重设定说明!E25</f>
        <v>0.061</v>
      </c>
      <c r="BJ110" s="87">
        <f>SUM(BH110:BH115)*权重调整机制!K39</f>
        <v>0.061</v>
      </c>
      <c r="BK110" s="86" t="s">
        <v>1165</v>
      </c>
      <c r="BL110" s="87">
        <v>0.26</v>
      </c>
      <c r="BM110" s="87">
        <f>SUM(BL110:BL115)*初始权重设定说明!E25</f>
        <v>0.039</v>
      </c>
      <c r="BN110" s="87">
        <f>SUM(BL110:BL115)*权重调整机制!K39</f>
        <v>0.039</v>
      </c>
      <c r="BO110" s="86" t="s">
        <v>1166</v>
      </c>
      <c r="BP110" s="87">
        <v>0</v>
      </c>
      <c r="BQ110" s="87">
        <f>SUM(BP110:BP115)*初始权重设定说明!E25</f>
        <v>0</v>
      </c>
      <c r="BR110" s="87">
        <f>SUM(BP110:BP115)*权重调整机制!K39</f>
        <v>0</v>
      </c>
      <c r="BS110" s="91" t="s">
        <v>1167</v>
      </c>
      <c r="BT110" s="91">
        <v>0</v>
      </c>
      <c r="BU110" s="91">
        <f>SUM(BT110:BT115)*初始权重设定说明!E25</f>
        <v>0</v>
      </c>
      <c r="BV110" s="91">
        <f>SUM(BT110:BT115)*权重调整机制!K39</f>
        <v>0</v>
      </c>
      <c r="BW110" s="86" t="s">
        <v>1168</v>
      </c>
      <c r="BX110" s="87">
        <v>0.74</v>
      </c>
      <c r="BY110" s="87">
        <f>SUM(BX110:BX115)*初始权重设定说明!E25</f>
        <v>0.359</v>
      </c>
      <c r="BZ110" s="87">
        <f>SUM(BX110:BX115)*权重调整机制!K39</f>
        <v>0.359</v>
      </c>
      <c r="CA110" s="86" t="s">
        <v>1169</v>
      </c>
      <c r="CB110" s="87">
        <v>2.73</v>
      </c>
      <c r="CC110" s="87">
        <f>SUM(CB110:CB115)*初始权重设定说明!E25</f>
        <v>0.973</v>
      </c>
      <c r="CD110" s="87">
        <f>SUM(CB110:CB115)*权重调整机制!K39</f>
        <v>0.973</v>
      </c>
      <c r="CE110" s="86" t="s">
        <v>1170</v>
      </c>
      <c r="CF110" s="87">
        <v>3</v>
      </c>
      <c r="CG110" s="87">
        <f>SUM(CF110:CF115)*初始权重设定说明!E25</f>
        <v>0.948</v>
      </c>
      <c r="CH110" s="87">
        <f>SUM(CF110:CF115)*权重调整机制!K39</f>
        <v>0.948</v>
      </c>
      <c r="CI110" s="86" t="s">
        <v>1171</v>
      </c>
      <c r="CJ110" s="87">
        <v>0.06</v>
      </c>
      <c r="CK110" s="87">
        <f>SUM(CJ110:CJ115)*初始权重设定说明!E25</f>
        <v>0.149</v>
      </c>
      <c r="CL110" s="87">
        <f>SUM(CJ110:CJ115)*权重调整机制!K39</f>
        <v>0.149</v>
      </c>
    </row>
    <row r="111" ht="101" customHeight="1" spans="1:90">
      <c r="A111" s="14"/>
      <c r="B111" s="14"/>
      <c r="C111" s="14"/>
      <c r="D111" s="14"/>
      <c r="E111" s="14"/>
      <c r="F111" s="14"/>
      <c r="G111" s="14"/>
      <c r="H111" s="14"/>
      <c r="I111" s="104" t="s">
        <v>607</v>
      </c>
      <c r="J111" s="100" t="s">
        <v>608</v>
      </c>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row>
    <row r="112" spans="1:90">
      <c r="A112" s="14"/>
      <c r="B112" s="14"/>
      <c r="C112" s="14"/>
      <c r="D112" s="14"/>
      <c r="E112" s="14"/>
      <c r="F112" s="15"/>
      <c r="G112" s="14"/>
      <c r="H112" s="15"/>
      <c r="I112" s="104" t="s">
        <v>609</v>
      </c>
      <c r="J112" s="104">
        <v>10</v>
      </c>
      <c r="K112" s="15"/>
      <c r="L112" s="15"/>
      <c r="M112" s="14"/>
      <c r="N112" s="14"/>
      <c r="O112" s="15"/>
      <c r="P112" s="15"/>
      <c r="Q112" s="14"/>
      <c r="R112" s="14"/>
      <c r="S112" s="15"/>
      <c r="T112" s="15"/>
      <c r="U112" s="14"/>
      <c r="V112" s="14"/>
      <c r="W112" s="15"/>
      <c r="X112" s="15"/>
      <c r="Y112" s="14"/>
      <c r="Z112" s="14"/>
      <c r="AA112" s="15"/>
      <c r="AB112" s="15"/>
      <c r="AC112" s="14"/>
      <c r="AD112" s="14"/>
      <c r="AE112" s="15"/>
      <c r="AF112" s="15"/>
      <c r="AG112" s="14"/>
      <c r="AH112" s="14"/>
      <c r="AI112" s="15"/>
      <c r="AJ112" s="15"/>
      <c r="AK112" s="14"/>
      <c r="AL112" s="14"/>
      <c r="AM112" s="15"/>
      <c r="AN112" s="15"/>
      <c r="AO112" s="14"/>
      <c r="AP112" s="14"/>
      <c r="AQ112" s="15"/>
      <c r="AR112" s="15"/>
      <c r="AS112" s="14"/>
      <c r="AT112" s="14"/>
      <c r="AU112" s="15"/>
      <c r="AV112" s="15"/>
      <c r="AW112" s="14"/>
      <c r="AX112" s="14"/>
      <c r="AY112" s="15"/>
      <c r="AZ112" s="15"/>
      <c r="BA112" s="14"/>
      <c r="BB112" s="14"/>
      <c r="BC112" s="15"/>
      <c r="BD112" s="15"/>
      <c r="BE112" s="14"/>
      <c r="BF112" s="14"/>
      <c r="BG112" s="15"/>
      <c r="BH112" s="15"/>
      <c r="BI112" s="14"/>
      <c r="BJ112" s="14"/>
      <c r="BK112" s="15"/>
      <c r="BL112" s="15"/>
      <c r="BM112" s="14"/>
      <c r="BN112" s="14"/>
      <c r="BO112" s="15"/>
      <c r="BP112" s="15"/>
      <c r="BQ112" s="14"/>
      <c r="BR112" s="14"/>
      <c r="BS112" s="15"/>
      <c r="BT112" s="15"/>
      <c r="BU112" s="14"/>
      <c r="BV112" s="14"/>
      <c r="BW112" s="15"/>
      <c r="BX112" s="15"/>
      <c r="BY112" s="14"/>
      <c r="BZ112" s="14"/>
      <c r="CA112" s="15"/>
      <c r="CB112" s="15"/>
      <c r="CC112" s="14"/>
      <c r="CD112" s="14"/>
      <c r="CE112" s="15"/>
      <c r="CF112" s="15"/>
      <c r="CG112" s="14"/>
      <c r="CH112" s="14"/>
      <c r="CI112" s="15"/>
      <c r="CJ112" s="15"/>
      <c r="CK112" s="14"/>
      <c r="CL112" s="14"/>
    </row>
    <row r="113" spans="1:90">
      <c r="A113" s="14"/>
      <c r="B113" s="14"/>
      <c r="C113" s="14"/>
      <c r="D113" s="14"/>
      <c r="E113" s="14"/>
      <c r="F113" s="99" t="s">
        <v>610</v>
      </c>
      <c r="G113" s="14"/>
      <c r="H113" s="100" t="s">
        <v>645</v>
      </c>
      <c r="I113" s="104" t="s">
        <v>618</v>
      </c>
      <c r="J113" s="104">
        <v>0</v>
      </c>
      <c r="K113" s="86" t="s">
        <v>1172</v>
      </c>
      <c r="L113" s="87">
        <v>3.89</v>
      </c>
      <c r="M113" s="14"/>
      <c r="N113" s="14"/>
      <c r="O113" s="86" t="s">
        <v>1173</v>
      </c>
      <c r="P113" s="87">
        <v>0.52</v>
      </c>
      <c r="Q113" s="14"/>
      <c r="R113" s="14"/>
      <c r="S113" s="86" t="s">
        <v>1174</v>
      </c>
      <c r="T113" s="87">
        <v>1.81</v>
      </c>
      <c r="U113" s="14"/>
      <c r="V113" s="14"/>
      <c r="W113" s="86" t="s">
        <v>1175</v>
      </c>
      <c r="X113" s="87">
        <v>3.37</v>
      </c>
      <c r="Y113" s="14"/>
      <c r="Z113" s="14"/>
      <c r="AA113" s="86" t="s">
        <v>1176</v>
      </c>
      <c r="AB113" s="87">
        <v>0.39</v>
      </c>
      <c r="AC113" s="14"/>
      <c r="AD113" s="14"/>
      <c r="AE113" s="86" t="s">
        <v>1177</v>
      </c>
      <c r="AF113" s="87">
        <v>6.74</v>
      </c>
      <c r="AG113" s="14"/>
      <c r="AH113" s="14"/>
      <c r="AI113" s="86" t="s">
        <v>1178</v>
      </c>
      <c r="AJ113" s="87">
        <v>0.52</v>
      </c>
      <c r="AK113" s="14"/>
      <c r="AL113" s="14"/>
      <c r="AM113" s="86" t="s">
        <v>1179</v>
      </c>
      <c r="AN113" s="87">
        <v>5.7</v>
      </c>
      <c r="AO113" s="14"/>
      <c r="AP113" s="14"/>
      <c r="AQ113" s="86" t="s">
        <v>1180</v>
      </c>
      <c r="AR113" s="87">
        <v>1.69</v>
      </c>
      <c r="AS113" s="14"/>
      <c r="AT113" s="14"/>
      <c r="AU113" s="86" t="s">
        <v>1181</v>
      </c>
      <c r="AV113" s="87">
        <v>5.83</v>
      </c>
      <c r="AW113" s="14"/>
      <c r="AX113" s="14"/>
      <c r="AY113" s="86" t="s">
        <v>1174</v>
      </c>
      <c r="AZ113" s="87">
        <v>7</v>
      </c>
      <c r="BA113" s="14"/>
      <c r="BB113" s="14"/>
      <c r="BC113" s="86" t="s">
        <v>1182</v>
      </c>
      <c r="BD113" s="87">
        <v>4.15</v>
      </c>
      <c r="BE113" s="14"/>
      <c r="BF113" s="14"/>
      <c r="BG113" s="86" t="s">
        <v>1183</v>
      </c>
      <c r="BH113" s="87">
        <v>0.39</v>
      </c>
      <c r="BI113" s="14"/>
      <c r="BJ113" s="14"/>
      <c r="BK113" s="86" t="s">
        <v>1184</v>
      </c>
      <c r="BL113" s="87">
        <v>0.13</v>
      </c>
      <c r="BM113" s="14"/>
      <c r="BN113" s="14"/>
      <c r="BO113" s="86" t="s">
        <v>1185</v>
      </c>
      <c r="BP113" s="87">
        <v>0</v>
      </c>
      <c r="BQ113" s="14"/>
      <c r="BR113" s="14"/>
      <c r="BS113" s="91" t="s">
        <v>1167</v>
      </c>
      <c r="BT113" s="91">
        <v>0</v>
      </c>
      <c r="BU113" s="14"/>
      <c r="BV113" s="14"/>
      <c r="BW113" s="86" t="s">
        <v>1186</v>
      </c>
      <c r="BX113" s="87">
        <v>2.85</v>
      </c>
      <c r="BY113" s="14"/>
      <c r="BZ113" s="14"/>
      <c r="CA113" s="86" t="s">
        <v>1187</v>
      </c>
      <c r="CB113" s="87">
        <v>7</v>
      </c>
      <c r="CC113" s="14"/>
      <c r="CD113" s="14"/>
      <c r="CE113" s="86" t="s">
        <v>1188</v>
      </c>
      <c r="CF113" s="87">
        <v>6.48</v>
      </c>
      <c r="CG113" s="14"/>
      <c r="CH113" s="14"/>
      <c r="CI113" s="86" t="s">
        <v>1184</v>
      </c>
      <c r="CJ113" s="87">
        <v>1.43</v>
      </c>
      <c r="CK113" s="14"/>
      <c r="CL113" s="14"/>
    </row>
    <row r="114" ht="84" customHeight="1" spans="1:90">
      <c r="A114" s="14"/>
      <c r="B114" s="14"/>
      <c r="C114" s="14"/>
      <c r="D114" s="14"/>
      <c r="E114" s="14"/>
      <c r="F114" s="14"/>
      <c r="G114" s="14"/>
      <c r="H114" s="14"/>
      <c r="I114" s="104" t="s">
        <v>613</v>
      </c>
      <c r="J114" s="100" t="s">
        <v>619</v>
      </c>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14"/>
      <c r="BZ114" s="14"/>
      <c r="CA114" s="14"/>
      <c r="CB114" s="14"/>
      <c r="CC114" s="14"/>
      <c r="CD114" s="14"/>
      <c r="CE114" s="14"/>
      <c r="CF114" s="14"/>
      <c r="CG114" s="14"/>
      <c r="CH114" s="14"/>
      <c r="CI114" s="14"/>
      <c r="CJ114" s="14"/>
      <c r="CK114" s="14"/>
      <c r="CL114" s="14"/>
    </row>
    <row r="115" spans="1:90">
      <c r="A115" s="14"/>
      <c r="B115" s="15"/>
      <c r="C115" s="15"/>
      <c r="D115" s="15"/>
      <c r="E115" s="15"/>
      <c r="F115" s="15"/>
      <c r="G115" s="15"/>
      <c r="H115" s="15"/>
      <c r="I115" s="104" t="s">
        <v>615</v>
      </c>
      <c r="J115" s="104">
        <v>10</v>
      </c>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row>
    <row r="116" ht="17" customHeight="1" spans="1:90">
      <c r="A116" s="14"/>
      <c r="B116" s="80" t="s">
        <v>420</v>
      </c>
      <c r="C116" s="99" t="s">
        <v>464</v>
      </c>
      <c r="D116" s="99" t="s">
        <v>646</v>
      </c>
      <c r="E116" s="99" t="s">
        <v>629</v>
      </c>
      <c r="F116" s="99" t="s">
        <v>647</v>
      </c>
      <c r="G116" s="103"/>
      <c r="H116" s="99" t="s">
        <v>648</v>
      </c>
      <c r="I116" s="100" t="s">
        <v>581</v>
      </c>
      <c r="J116" s="100">
        <v>0</v>
      </c>
      <c r="K116" s="86" t="s">
        <v>1189</v>
      </c>
      <c r="L116" s="87">
        <v>5</v>
      </c>
      <c r="M116" s="87">
        <f>SUM(L116:L120)*初始权重设定说明!E26</f>
        <v>3</v>
      </c>
      <c r="N116" s="86">
        <f>SUM(L116:L120)*权重调整机制!K40</f>
        <v>3</v>
      </c>
      <c r="O116" s="86" t="s">
        <v>1190</v>
      </c>
      <c r="P116" s="87">
        <v>5</v>
      </c>
      <c r="Q116" s="87">
        <f>SUM(P116:P120)*初始权重设定说明!E26</f>
        <v>3</v>
      </c>
      <c r="R116" s="87">
        <f>SUM(P116:P120)*权重调整机制!K40</f>
        <v>3</v>
      </c>
      <c r="S116" s="86" t="s">
        <v>1191</v>
      </c>
      <c r="T116" s="87">
        <v>5</v>
      </c>
      <c r="U116" s="87">
        <f>SUM(T116:T120)*初始权重设定说明!E26</f>
        <v>3</v>
      </c>
      <c r="V116" s="87">
        <f>SUM(T116:T120)*权重调整机制!K40</f>
        <v>3</v>
      </c>
      <c r="W116" s="86" t="s">
        <v>1192</v>
      </c>
      <c r="X116" s="87">
        <v>5</v>
      </c>
      <c r="Y116" s="87">
        <f>SUM(X116:X120)*初始权重设定说明!E26</f>
        <v>3</v>
      </c>
      <c r="Z116" s="87">
        <f>SUM(X116:X120)*权重调整机制!K40</f>
        <v>3</v>
      </c>
      <c r="AA116" s="86" t="s">
        <v>1193</v>
      </c>
      <c r="AB116" s="87">
        <v>5</v>
      </c>
      <c r="AC116" s="87">
        <f>SUM(AB116:AB120)*初始权重设定说明!E26</f>
        <v>3</v>
      </c>
      <c r="AD116" s="87">
        <f>SUM(AB116:AB120)*权重调整机制!K40</f>
        <v>3</v>
      </c>
      <c r="AE116" s="86" t="s">
        <v>1194</v>
      </c>
      <c r="AF116" s="87">
        <v>5</v>
      </c>
      <c r="AG116" s="87">
        <f>SUM(AF116:AF120)*初始权重设定说明!E26</f>
        <v>3</v>
      </c>
      <c r="AH116" s="87">
        <f>SUM(AF116:AF120)*权重调整机制!K40</f>
        <v>3</v>
      </c>
      <c r="AI116" s="86" t="s">
        <v>1195</v>
      </c>
      <c r="AJ116" s="87">
        <v>5</v>
      </c>
      <c r="AK116" s="87">
        <f>SUM(AJ116:AJ120)*初始权重设定说明!E26</f>
        <v>3</v>
      </c>
      <c r="AL116" s="87">
        <f>SUM(AJ116:AJ120)*权重调整机制!K40</f>
        <v>3</v>
      </c>
      <c r="AM116" s="86" t="s">
        <v>1196</v>
      </c>
      <c r="AN116" s="87">
        <v>5</v>
      </c>
      <c r="AO116" s="87">
        <f>SUM(AN116:AN120)*初始权重设定说明!E26</f>
        <v>3</v>
      </c>
      <c r="AP116" s="87">
        <f>SUM(AN116:AN120)*权重调整机制!K40</f>
        <v>3</v>
      </c>
      <c r="AQ116" s="86" t="s">
        <v>1197</v>
      </c>
      <c r="AR116" s="87">
        <v>5</v>
      </c>
      <c r="AS116" s="87">
        <f>SUM(AR116:AR120)*初始权重设定说明!E26</f>
        <v>3</v>
      </c>
      <c r="AT116" s="87">
        <f>SUM(AR116:AR120)*权重调整机制!K40</f>
        <v>3</v>
      </c>
      <c r="AU116" s="86" t="s">
        <v>1198</v>
      </c>
      <c r="AV116" s="87">
        <v>5</v>
      </c>
      <c r="AW116" s="87">
        <f>SUM(AV116:AV120)*初始权重设定说明!E26</f>
        <v>1.5</v>
      </c>
      <c r="AX116" s="87">
        <f>SUM(AV116:AV120)*权重调整机制!K40</f>
        <v>1.5</v>
      </c>
      <c r="AY116" s="86" t="s">
        <v>1199</v>
      </c>
      <c r="AZ116" s="87">
        <v>3</v>
      </c>
      <c r="BA116" s="87">
        <f>SUM(AZ116:AZ120)*初始权重设定说明!E26</f>
        <v>2.4</v>
      </c>
      <c r="BB116" s="87">
        <f>SUM(AZ116:AZ120)*权重调整机制!K40</f>
        <v>2.4</v>
      </c>
      <c r="BC116" s="86" t="s">
        <v>1200</v>
      </c>
      <c r="BD116" s="87">
        <v>5</v>
      </c>
      <c r="BE116" s="87">
        <f>SUM(BD116:BD120)*初始权重设定说明!E26</f>
        <v>3</v>
      </c>
      <c r="BF116" s="87">
        <f>SUM(BD116:BD120)*权重调整机制!K40</f>
        <v>3</v>
      </c>
      <c r="BG116" s="86" t="s">
        <v>1201</v>
      </c>
      <c r="BH116" s="87">
        <v>5</v>
      </c>
      <c r="BI116" s="87">
        <f>SUM(BH116:BH120)*初始权重设定说明!E26</f>
        <v>1.5</v>
      </c>
      <c r="BJ116" s="87">
        <f>SUM(BH116:BH120)*权重调整机制!K40</f>
        <v>1.5</v>
      </c>
      <c r="BK116" s="86" t="s">
        <v>1202</v>
      </c>
      <c r="BL116" s="87">
        <v>5</v>
      </c>
      <c r="BM116" s="87">
        <f>SUM(BL116:BL120)*初始权重设定说明!E26</f>
        <v>3</v>
      </c>
      <c r="BN116" s="87">
        <f>SUM(BL116:BL120)*权重调整机制!K40</f>
        <v>3</v>
      </c>
      <c r="BO116" s="90" t="s">
        <v>1203</v>
      </c>
      <c r="BP116" s="87">
        <v>0</v>
      </c>
      <c r="BQ116" s="87">
        <f>SUM(BP116:BP120)*初始权重设定说明!E26</f>
        <v>0</v>
      </c>
      <c r="BR116" s="87">
        <f>SUM(BP116:BP120)*权重调整机制!K40</f>
        <v>0</v>
      </c>
      <c r="BS116" s="90" t="s">
        <v>1203</v>
      </c>
      <c r="BT116" s="87">
        <v>0</v>
      </c>
      <c r="BU116" s="87">
        <f>SUM(BT116:BT120)*初始权重设定说明!E26</f>
        <v>0</v>
      </c>
      <c r="BV116" s="87">
        <f>SUM(BT116:BT120)*权重调整机制!K40</f>
        <v>0</v>
      </c>
      <c r="BW116" s="86" t="s">
        <v>1204</v>
      </c>
      <c r="BX116" s="87">
        <v>5</v>
      </c>
      <c r="BY116" s="87">
        <f>SUM(BX116:BX120)*初始权重设定说明!E26</f>
        <v>1.5</v>
      </c>
      <c r="BZ116" s="87">
        <f>SUM(BX116:BX120)*权重调整机制!K40</f>
        <v>1.5</v>
      </c>
      <c r="CA116" s="86" t="s">
        <v>1205</v>
      </c>
      <c r="CB116" s="87">
        <v>5</v>
      </c>
      <c r="CC116" s="87">
        <f>SUM(CB116:CB120)*初始权重设定说明!E26</f>
        <v>1.5</v>
      </c>
      <c r="CD116" s="87">
        <f>SUM(CB116:CB120)*权重调整机制!K40</f>
        <v>1.5</v>
      </c>
      <c r="CE116" s="86" t="s">
        <v>1206</v>
      </c>
      <c r="CF116" s="87">
        <v>5</v>
      </c>
      <c r="CG116" s="87">
        <f>SUM(CF116:CF120)*初始权重设定说明!E26</f>
        <v>3</v>
      </c>
      <c r="CH116" s="87">
        <f>SUM(CF116:CF120)*权重调整机制!K40</f>
        <v>3</v>
      </c>
      <c r="CI116" s="86" t="s">
        <v>1207</v>
      </c>
      <c r="CJ116" s="87">
        <v>5</v>
      </c>
      <c r="CK116" s="87">
        <f>SUM(CJ116:CJ120)*初始权重设定说明!E26</f>
        <v>1.5</v>
      </c>
      <c r="CL116" s="87">
        <f>SUM(CJ116:CJ120)*权重调整机制!K40</f>
        <v>1.5</v>
      </c>
    </row>
    <row r="117" ht="34" customHeight="1" spans="1:90">
      <c r="A117" s="14"/>
      <c r="B117" s="14"/>
      <c r="C117" s="14"/>
      <c r="D117" s="14"/>
      <c r="E117" s="14"/>
      <c r="F117" s="14"/>
      <c r="G117" s="14"/>
      <c r="H117" s="14"/>
      <c r="I117" s="100" t="s">
        <v>649</v>
      </c>
      <c r="J117" s="100">
        <v>3</v>
      </c>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c r="CE117" s="14"/>
      <c r="CF117" s="14"/>
      <c r="CG117" s="14"/>
      <c r="CH117" s="14"/>
      <c r="CI117" s="14"/>
      <c r="CJ117" s="14"/>
      <c r="CK117" s="14"/>
      <c r="CL117" s="14"/>
    </row>
    <row r="118" ht="34" customHeight="1" spans="1:90">
      <c r="A118" s="14"/>
      <c r="B118" s="14"/>
      <c r="C118" s="14"/>
      <c r="D118" s="14"/>
      <c r="E118" s="14"/>
      <c r="F118" s="15"/>
      <c r="G118" s="15"/>
      <c r="H118" s="15"/>
      <c r="I118" s="100" t="s">
        <v>650</v>
      </c>
      <c r="J118" s="100">
        <v>5</v>
      </c>
      <c r="K118" s="15"/>
      <c r="L118" s="15"/>
      <c r="M118" s="14"/>
      <c r="N118" s="14"/>
      <c r="O118" s="15"/>
      <c r="P118" s="15"/>
      <c r="Q118" s="14"/>
      <c r="R118" s="14"/>
      <c r="S118" s="15"/>
      <c r="T118" s="15"/>
      <c r="U118" s="14"/>
      <c r="V118" s="14"/>
      <c r="W118" s="15"/>
      <c r="X118" s="15"/>
      <c r="Y118" s="14"/>
      <c r="Z118" s="14"/>
      <c r="AA118" s="15"/>
      <c r="AB118" s="15"/>
      <c r="AC118" s="14"/>
      <c r="AD118" s="14"/>
      <c r="AE118" s="15"/>
      <c r="AF118" s="15"/>
      <c r="AG118" s="14"/>
      <c r="AH118" s="14"/>
      <c r="AI118" s="15"/>
      <c r="AJ118" s="15"/>
      <c r="AK118" s="14"/>
      <c r="AL118" s="14"/>
      <c r="AM118" s="15"/>
      <c r="AN118" s="15"/>
      <c r="AO118" s="14"/>
      <c r="AP118" s="14"/>
      <c r="AQ118" s="15"/>
      <c r="AR118" s="15"/>
      <c r="AS118" s="14"/>
      <c r="AT118" s="14"/>
      <c r="AU118" s="15"/>
      <c r="AV118" s="15"/>
      <c r="AW118" s="14"/>
      <c r="AX118" s="14"/>
      <c r="AY118" s="15"/>
      <c r="AZ118" s="15"/>
      <c r="BA118" s="14"/>
      <c r="BB118" s="14"/>
      <c r="BC118" s="15"/>
      <c r="BD118" s="15"/>
      <c r="BE118" s="14"/>
      <c r="BF118" s="14"/>
      <c r="BG118" s="15"/>
      <c r="BH118" s="15"/>
      <c r="BI118" s="14"/>
      <c r="BJ118" s="14"/>
      <c r="BK118" s="15"/>
      <c r="BL118" s="15"/>
      <c r="BM118" s="14"/>
      <c r="BN118" s="14"/>
      <c r="BO118" s="15"/>
      <c r="BP118" s="15"/>
      <c r="BQ118" s="14"/>
      <c r="BR118" s="14"/>
      <c r="BS118" s="15"/>
      <c r="BT118" s="15"/>
      <c r="BU118" s="14"/>
      <c r="BV118" s="14"/>
      <c r="BW118" s="15"/>
      <c r="BX118" s="15"/>
      <c r="BY118" s="14"/>
      <c r="BZ118" s="14"/>
      <c r="CA118" s="15"/>
      <c r="CB118" s="15"/>
      <c r="CC118" s="14"/>
      <c r="CD118" s="14"/>
      <c r="CE118" s="15"/>
      <c r="CF118" s="15"/>
      <c r="CG118" s="14"/>
      <c r="CH118" s="14"/>
      <c r="CI118" s="15"/>
      <c r="CJ118" s="15"/>
      <c r="CK118" s="14"/>
      <c r="CL118" s="14"/>
    </row>
    <row r="119" ht="17" customHeight="1" spans="1:90">
      <c r="A119" s="14"/>
      <c r="B119" s="14"/>
      <c r="C119" s="14"/>
      <c r="D119" s="14"/>
      <c r="E119" s="14"/>
      <c r="F119" s="99" t="s">
        <v>651</v>
      </c>
      <c r="G119" s="103"/>
      <c r="H119" s="99" t="s">
        <v>652</v>
      </c>
      <c r="I119" s="100" t="s">
        <v>581</v>
      </c>
      <c r="J119" s="100">
        <v>0</v>
      </c>
      <c r="K119" s="86" t="s">
        <v>1208</v>
      </c>
      <c r="L119" s="87">
        <v>5</v>
      </c>
      <c r="M119" s="14"/>
      <c r="N119" s="14"/>
      <c r="O119" s="86" t="s">
        <v>1209</v>
      </c>
      <c r="P119" s="87">
        <v>5</v>
      </c>
      <c r="Q119" s="14"/>
      <c r="R119" s="14"/>
      <c r="S119" s="86" t="s">
        <v>1210</v>
      </c>
      <c r="T119" s="87">
        <v>5</v>
      </c>
      <c r="U119" s="14"/>
      <c r="V119" s="14"/>
      <c r="W119" s="86" t="s">
        <v>1211</v>
      </c>
      <c r="X119" s="87">
        <v>5</v>
      </c>
      <c r="Y119" s="14"/>
      <c r="Z119" s="14"/>
      <c r="AA119" s="86" t="s">
        <v>1212</v>
      </c>
      <c r="AB119" s="87">
        <v>5</v>
      </c>
      <c r="AC119" s="14"/>
      <c r="AD119" s="14"/>
      <c r="AE119" s="86" t="s">
        <v>1213</v>
      </c>
      <c r="AF119" s="87">
        <v>5</v>
      </c>
      <c r="AG119" s="14"/>
      <c r="AH119" s="14"/>
      <c r="AI119" s="86" t="s">
        <v>1214</v>
      </c>
      <c r="AJ119" s="87">
        <v>5</v>
      </c>
      <c r="AK119" s="14"/>
      <c r="AL119" s="14"/>
      <c r="AM119" s="86" t="s">
        <v>1215</v>
      </c>
      <c r="AN119" s="87">
        <v>5</v>
      </c>
      <c r="AO119" s="14"/>
      <c r="AP119" s="14"/>
      <c r="AQ119" s="86" t="s">
        <v>1216</v>
      </c>
      <c r="AR119" s="87">
        <v>5</v>
      </c>
      <c r="AS119" s="14"/>
      <c r="AT119" s="14"/>
      <c r="AU119" s="90" t="s">
        <v>1217</v>
      </c>
      <c r="AV119" s="87">
        <v>0</v>
      </c>
      <c r="AW119" s="14"/>
      <c r="AX119" s="14"/>
      <c r="AY119" s="86" t="s">
        <v>1218</v>
      </c>
      <c r="AZ119" s="87">
        <v>5</v>
      </c>
      <c r="BA119" s="14"/>
      <c r="BB119" s="14"/>
      <c r="BC119" s="86" t="s">
        <v>1219</v>
      </c>
      <c r="BD119" s="87">
        <v>5</v>
      </c>
      <c r="BE119" s="14"/>
      <c r="BF119" s="14"/>
      <c r="BG119" s="87" t="s">
        <v>1220</v>
      </c>
      <c r="BH119" s="87">
        <v>0</v>
      </c>
      <c r="BI119" s="14"/>
      <c r="BJ119" s="14"/>
      <c r="BK119" s="86" t="s">
        <v>1221</v>
      </c>
      <c r="BL119" s="87">
        <v>5</v>
      </c>
      <c r="BM119" s="14"/>
      <c r="BN119" s="14"/>
      <c r="BO119" s="91" t="s">
        <v>1222</v>
      </c>
      <c r="BP119" s="87">
        <v>0</v>
      </c>
      <c r="BQ119" s="14"/>
      <c r="BR119" s="14"/>
      <c r="BS119" s="91" t="s">
        <v>1222</v>
      </c>
      <c r="BT119" s="87">
        <v>0</v>
      </c>
      <c r="BU119" s="14"/>
      <c r="BV119" s="14"/>
      <c r="BW119" s="91" t="s">
        <v>1222</v>
      </c>
      <c r="BX119" s="87">
        <v>0</v>
      </c>
      <c r="BY119" s="14"/>
      <c r="BZ119" s="14"/>
      <c r="CA119" s="91" t="s">
        <v>1222</v>
      </c>
      <c r="CB119" s="87">
        <v>0</v>
      </c>
      <c r="CC119" s="14"/>
      <c r="CD119" s="14"/>
      <c r="CE119" s="97" t="s">
        <v>1223</v>
      </c>
      <c r="CF119" s="87">
        <v>5</v>
      </c>
      <c r="CG119" s="14"/>
      <c r="CH119" s="14"/>
      <c r="CI119" s="91" t="s">
        <v>1222</v>
      </c>
      <c r="CJ119" s="87">
        <v>0</v>
      </c>
      <c r="CK119" s="14"/>
      <c r="CL119" s="14"/>
    </row>
    <row r="120" ht="17" customHeight="1" spans="1:90">
      <c r="A120" s="14"/>
      <c r="B120" s="14"/>
      <c r="C120" s="15"/>
      <c r="D120" s="15"/>
      <c r="E120" s="15"/>
      <c r="F120" s="15"/>
      <c r="G120" s="15"/>
      <c r="H120" s="15"/>
      <c r="I120" s="100" t="s">
        <v>582</v>
      </c>
      <c r="J120" s="100">
        <v>5</v>
      </c>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row>
    <row r="121" ht="17" customHeight="1" spans="1:90">
      <c r="A121" s="14"/>
      <c r="B121" s="14"/>
      <c r="C121" s="99" t="s">
        <v>467</v>
      </c>
      <c r="D121" s="99" t="s">
        <v>653</v>
      </c>
      <c r="E121" s="99" t="s">
        <v>556</v>
      </c>
      <c r="F121" s="99" t="s">
        <v>654</v>
      </c>
      <c r="G121" s="100"/>
      <c r="H121" s="100" t="s">
        <v>655</v>
      </c>
      <c r="I121" s="100" t="s">
        <v>581</v>
      </c>
      <c r="J121" s="100">
        <v>0</v>
      </c>
      <c r="K121" s="86" t="s">
        <v>1224</v>
      </c>
      <c r="L121" s="87">
        <v>10</v>
      </c>
      <c r="M121" s="87">
        <f>L121*初始权重设定说明!E27</f>
        <v>3</v>
      </c>
      <c r="N121" s="86">
        <f>SUM(L121)*权重调整机制!K41</f>
        <v>3</v>
      </c>
      <c r="O121" s="86" t="s">
        <v>1225</v>
      </c>
      <c r="P121" s="87">
        <v>10</v>
      </c>
      <c r="Q121" s="87">
        <f>P121*初始权重设定说明!E27</f>
        <v>3</v>
      </c>
      <c r="R121" s="87">
        <f>SUM(P121:P121)*权重调整机制!K41</f>
        <v>3</v>
      </c>
      <c r="S121" s="86" t="s">
        <v>1226</v>
      </c>
      <c r="T121" s="87">
        <v>10</v>
      </c>
      <c r="U121" s="87">
        <f>T121*初始权重设定说明!E27</f>
        <v>3</v>
      </c>
      <c r="V121" s="87">
        <f>SUM(T121:T121)*权重调整机制!K41</f>
        <v>3</v>
      </c>
      <c r="W121" s="90" t="s">
        <v>1227</v>
      </c>
      <c r="X121" s="87">
        <v>0</v>
      </c>
      <c r="Y121" s="87">
        <f>X121*初始权重设定说明!E27</f>
        <v>0</v>
      </c>
      <c r="Z121" s="87">
        <f>SUM(X121:X121)*权重调整机制!K41</f>
        <v>0</v>
      </c>
      <c r="AA121" s="90" t="s">
        <v>1227</v>
      </c>
      <c r="AB121" s="87">
        <v>0</v>
      </c>
      <c r="AC121" s="87">
        <f>AB121*初始权重设定说明!E27</f>
        <v>0</v>
      </c>
      <c r="AD121" s="87">
        <f>SUM(AB121:AB121)*权重调整机制!K41</f>
        <v>0</v>
      </c>
      <c r="AE121" s="86" t="s">
        <v>1228</v>
      </c>
      <c r="AF121" s="87">
        <v>10</v>
      </c>
      <c r="AG121" s="87">
        <f>AF121*初始权重设定说明!E27</f>
        <v>3</v>
      </c>
      <c r="AH121" s="87">
        <f>SUM(AF121:AF121)*权重调整机制!K41</f>
        <v>3</v>
      </c>
      <c r="AI121" s="86" t="s">
        <v>1229</v>
      </c>
      <c r="AJ121" s="87">
        <v>10</v>
      </c>
      <c r="AK121" s="87">
        <f>AJ121*初始权重设定说明!E27</f>
        <v>3</v>
      </c>
      <c r="AL121" s="87">
        <f>SUM(AJ121:AJ121)*权重调整机制!K41</f>
        <v>3</v>
      </c>
      <c r="AM121" s="90" t="s">
        <v>1230</v>
      </c>
      <c r="AN121" s="87">
        <v>0</v>
      </c>
      <c r="AO121" s="87">
        <f>AN121*初始权重设定说明!E27</f>
        <v>0</v>
      </c>
      <c r="AP121" s="87">
        <f>SUM(AN121:AN121)*权重调整机制!K41</f>
        <v>0</v>
      </c>
      <c r="AQ121" s="86" t="s">
        <v>1231</v>
      </c>
      <c r="AR121" s="87">
        <v>10</v>
      </c>
      <c r="AS121" s="87">
        <f>AR121*初始权重设定说明!E27</f>
        <v>3</v>
      </c>
      <c r="AT121" s="87">
        <f>SUM(AR121:AR121)*权重调整机制!K41</f>
        <v>3</v>
      </c>
      <c r="AU121" s="90" t="s">
        <v>1227</v>
      </c>
      <c r="AV121" s="87">
        <v>0</v>
      </c>
      <c r="AW121" s="87">
        <f>AV121*初始权重设定说明!E27</f>
        <v>0</v>
      </c>
      <c r="AX121" s="87">
        <f>SUM(AV121:AV121)*权重调整机制!K41</f>
        <v>0</v>
      </c>
      <c r="AY121" s="86" t="s">
        <v>1232</v>
      </c>
      <c r="AZ121" s="87">
        <v>10</v>
      </c>
      <c r="BA121" s="87">
        <f>AZ121*初始权重设定说明!E27</f>
        <v>3</v>
      </c>
      <c r="BB121" s="87">
        <f>SUM(AZ121:AZ121)*权重调整机制!K41</f>
        <v>3</v>
      </c>
      <c r="BC121" s="90" t="s">
        <v>1233</v>
      </c>
      <c r="BD121" s="87">
        <v>0</v>
      </c>
      <c r="BE121" s="87">
        <f>BD121*初始权重设定说明!E27</f>
        <v>0</v>
      </c>
      <c r="BF121" s="87">
        <f>SUM(BD121:BD121)*权重调整机制!K41</f>
        <v>0</v>
      </c>
      <c r="BG121" s="86" t="s">
        <v>1234</v>
      </c>
      <c r="BH121" s="87">
        <v>10</v>
      </c>
      <c r="BI121" s="87">
        <f>BH121*初始权重设定说明!E27</f>
        <v>3</v>
      </c>
      <c r="BJ121" s="87">
        <f>SUM(BH121:BH121)*权重调整机制!K41</f>
        <v>3</v>
      </c>
      <c r="BK121" s="86" t="s">
        <v>1235</v>
      </c>
      <c r="BL121" s="87">
        <v>10</v>
      </c>
      <c r="BM121" s="87">
        <f>BL121*初始权重设定说明!E27</f>
        <v>3</v>
      </c>
      <c r="BN121" s="87">
        <f>SUM(BL121:BL121)*权重调整机制!K41</f>
        <v>3</v>
      </c>
      <c r="BO121" s="90" t="s">
        <v>1227</v>
      </c>
      <c r="BP121" s="87">
        <v>0</v>
      </c>
      <c r="BQ121" s="87">
        <f>BP121*初始权重设定说明!E27</f>
        <v>0</v>
      </c>
      <c r="BR121" s="87">
        <f>SUM(BP121:BP121)*权重调整机制!K41</f>
        <v>0</v>
      </c>
      <c r="BS121" s="86" t="s">
        <v>1236</v>
      </c>
      <c r="BT121" s="87">
        <v>10</v>
      </c>
      <c r="BU121" s="87">
        <f>BT121*初始权重设定说明!E27</f>
        <v>3</v>
      </c>
      <c r="BV121" s="87">
        <f>SUM(BT121:BT121)*权重调整机制!K41</f>
        <v>3</v>
      </c>
      <c r="BW121" s="90" t="s">
        <v>1227</v>
      </c>
      <c r="BX121" s="87">
        <v>0</v>
      </c>
      <c r="BY121" s="87">
        <f>BX121*初始权重设定说明!E27</f>
        <v>0</v>
      </c>
      <c r="BZ121" s="87">
        <f>SUM(BX121:BX121)*权重调整机制!K41</f>
        <v>0</v>
      </c>
      <c r="CA121" s="86" t="s">
        <v>1237</v>
      </c>
      <c r="CB121" s="87">
        <v>10</v>
      </c>
      <c r="CC121" s="87">
        <f>CB121*初始权重设定说明!E27</f>
        <v>3</v>
      </c>
      <c r="CD121" s="87">
        <f>SUM(CB121:CB121)*权重调整机制!K41</f>
        <v>3</v>
      </c>
      <c r="CE121" s="90" t="s">
        <v>1227</v>
      </c>
      <c r="CF121" s="87">
        <v>0</v>
      </c>
      <c r="CG121" s="87">
        <f>CF121*初始权重设定说明!E27</f>
        <v>0</v>
      </c>
      <c r="CH121" s="87">
        <f>SUM(CF121:CF121)*权重调整机制!K41</f>
        <v>0</v>
      </c>
      <c r="CI121" s="90" t="s">
        <v>1227</v>
      </c>
      <c r="CJ121" s="87">
        <v>0</v>
      </c>
      <c r="CK121" s="87">
        <f>CJ121*初始权重设定说明!E27</f>
        <v>0</v>
      </c>
      <c r="CL121" s="87">
        <f>SUM(CJ121:CJ121)*权重调整机制!K41</f>
        <v>0</v>
      </c>
    </row>
    <row r="122" ht="17" customHeight="1" spans="1:90">
      <c r="A122" s="14"/>
      <c r="B122" s="14"/>
      <c r="C122" s="15"/>
      <c r="D122" s="15"/>
      <c r="E122" s="15"/>
      <c r="F122" s="15"/>
      <c r="G122" s="15"/>
      <c r="H122" s="15"/>
      <c r="I122" s="100" t="s">
        <v>582</v>
      </c>
      <c r="J122" s="100">
        <v>10</v>
      </c>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row>
    <row r="123" ht="17" customHeight="1" spans="1:90">
      <c r="A123" s="14"/>
      <c r="B123" s="14"/>
      <c r="C123" s="99" t="s">
        <v>470</v>
      </c>
      <c r="D123" s="99" t="s">
        <v>656</v>
      </c>
      <c r="E123" s="99" t="s">
        <v>556</v>
      </c>
      <c r="F123" s="99" t="s">
        <v>657</v>
      </c>
      <c r="G123" s="99"/>
      <c r="H123" s="99" t="s">
        <v>658</v>
      </c>
      <c r="I123" s="100" t="s">
        <v>581</v>
      </c>
      <c r="J123" s="100">
        <v>0</v>
      </c>
      <c r="K123" s="86" t="s">
        <v>1238</v>
      </c>
      <c r="L123" s="87">
        <v>10</v>
      </c>
      <c r="M123" s="87">
        <f>L123*初始权重设定说明!E28</f>
        <v>3</v>
      </c>
      <c r="N123" s="86">
        <f>L123*权重调整机制!K42</f>
        <v>3</v>
      </c>
      <c r="O123" s="86" t="s">
        <v>1239</v>
      </c>
      <c r="P123" s="87">
        <v>10</v>
      </c>
      <c r="Q123" s="87">
        <f>P123*初始权重设定说明!E28</f>
        <v>3</v>
      </c>
      <c r="R123" s="87">
        <f>P123*权重调整机制!K42</f>
        <v>3</v>
      </c>
      <c r="S123" s="86" t="s">
        <v>1240</v>
      </c>
      <c r="T123" s="87">
        <v>10</v>
      </c>
      <c r="U123" s="87">
        <f>T123*初始权重设定说明!E28</f>
        <v>3</v>
      </c>
      <c r="V123" s="87">
        <f>T123*权重调整机制!K42</f>
        <v>3</v>
      </c>
      <c r="W123" s="86" t="s">
        <v>1241</v>
      </c>
      <c r="X123" s="87">
        <v>5</v>
      </c>
      <c r="Y123" s="87">
        <f>X123*初始权重设定说明!E28</f>
        <v>1.5</v>
      </c>
      <c r="Z123" s="87">
        <f>X123*权重调整机制!K42</f>
        <v>1.5</v>
      </c>
      <c r="AA123" s="86" t="s">
        <v>1242</v>
      </c>
      <c r="AB123" s="87">
        <v>10</v>
      </c>
      <c r="AC123" s="87">
        <f>AB123*初始权重设定说明!E28</f>
        <v>3</v>
      </c>
      <c r="AD123" s="87">
        <f>AB123*权重调整机制!K42</f>
        <v>3</v>
      </c>
      <c r="AE123" s="86" t="s">
        <v>1243</v>
      </c>
      <c r="AF123" s="87">
        <v>10</v>
      </c>
      <c r="AG123" s="87">
        <f>AF123*初始权重设定说明!E28</f>
        <v>3</v>
      </c>
      <c r="AH123" s="87">
        <f>AF123*权重调整机制!K42</f>
        <v>3</v>
      </c>
      <c r="AI123" s="86" t="s">
        <v>1244</v>
      </c>
      <c r="AJ123" s="87">
        <v>10</v>
      </c>
      <c r="AK123" s="87">
        <f>AJ123*初始权重设定说明!E28</f>
        <v>3</v>
      </c>
      <c r="AL123" s="87">
        <f>AJ123*权重调整机制!K42</f>
        <v>3</v>
      </c>
      <c r="AM123" s="86" t="s">
        <v>1245</v>
      </c>
      <c r="AN123" s="87">
        <v>5</v>
      </c>
      <c r="AO123" s="87">
        <f>AN123*初始权重设定说明!E28</f>
        <v>1.5</v>
      </c>
      <c r="AP123" s="87">
        <f>AN123*权重调整机制!K42</f>
        <v>1.5</v>
      </c>
      <c r="AQ123" s="86" t="s">
        <v>1246</v>
      </c>
      <c r="AR123" s="87">
        <v>10</v>
      </c>
      <c r="AS123" s="106">
        <f>AR123*初始权重设定说明!E28</f>
        <v>3</v>
      </c>
      <c r="AT123" s="106">
        <f>AR123*权重调整机制!K42</f>
        <v>3</v>
      </c>
      <c r="AU123" s="86" t="s">
        <v>1247</v>
      </c>
      <c r="AV123" s="87">
        <v>10</v>
      </c>
      <c r="AW123" s="87">
        <f>AV123*初始权重设定说明!E28</f>
        <v>3</v>
      </c>
      <c r="AX123" s="87">
        <f>AV123*权重调整机制!K42</f>
        <v>3</v>
      </c>
      <c r="AY123" s="86" t="s">
        <v>1248</v>
      </c>
      <c r="AZ123" s="87">
        <v>10</v>
      </c>
      <c r="BA123" s="87">
        <f>AZ123*初始权重设定说明!E28</f>
        <v>3</v>
      </c>
      <c r="BB123" s="87">
        <f>AZ123*权重调整机制!K42</f>
        <v>3</v>
      </c>
      <c r="BC123" s="86" t="s">
        <v>1249</v>
      </c>
      <c r="BD123" s="87">
        <v>5</v>
      </c>
      <c r="BE123" s="87">
        <f>BD123*初始权重设定说明!E28</f>
        <v>1.5</v>
      </c>
      <c r="BF123" s="87">
        <f>BD123*权重调整机制!K42</f>
        <v>1.5</v>
      </c>
      <c r="BG123" s="86" t="s">
        <v>1250</v>
      </c>
      <c r="BH123" s="87">
        <v>10</v>
      </c>
      <c r="BI123" s="87">
        <f>BH123*初始权重设定说明!E28</f>
        <v>3</v>
      </c>
      <c r="BJ123" s="87">
        <f>BH123*权重调整机制!K42</f>
        <v>3</v>
      </c>
      <c r="BK123" s="86" t="s">
        <v>1251</v>
      </c>
      <c r="BL123" s="87">
        <v>10</v>
      </c>
      <c r="BM123" s="87">
        <f>BL123*初始权重设定说明!E28</f>
        <v>3</v>
      </c>
      <c r="BN123" s="87">
        <f>BL123*权重调整机制!K42</f>
        <v>3</v>
      </c>
      <c r="BO123" s="86" t="s">
        <v>1252</v>
      </c>
      <c r="BP123" s="87">
        <v>5</v>
      </c>
      <c r="BQ123" s="87">
        <f>BP123*初始权重设定说明!E28</f>
        <v>1.5</v>
      </c>
      <c r="BR123" s="87">
        <f>BP123*权重调整机制!K42</f>
        <v>1.5</v>
      </c>
      <c r="BS123" s="91" t="s">
        <v>1203</v>
      </c>
      <c r="BT123" s="87">
        <v>0</v>
      </c>
      <c r="BU123" s="87">
        <f>BT123*初始权重设定说明!E28</f>
        <v>0</v>
      </c>
      <c r="BV123" s="87">
        <f>BT123*权重调整机制!K42</f>
        <v>0</v>
      </c>
      <c r="BW123" s="86" t="s">
        <v>1253</v>
      </c>
      <c r="BX123" s="87">
        <v>5</v>
      </c>
      <c r="BY123" s="87">
        <f>BX123*初始权重设定说明!E28</f>
        <v>1.5</v>
      </c>
      <c r="BZ123" s="87">
        <f>BX123*权重调整机制!K42</f>
        <v>1.5</v>
      </c>
      <c r="CA123" s="91" t="s">
        <v>1203</v>
      </c>
      <c r="CB123" s="87">
        <v>0</v>
      </c>
      <c r="CC123" s="87">
        <f>CB123*初始权重设定说明!E28</f>
        <v>0</v>
      </c>
      <c r="CD123" s="87">
        <f>CB123*权重调整机制!K42</f>
        <v>0</v>
      </c>
      <c r="CE123" s="97" t="s">
        <v>1254</v>
      </c>
      <c r="CF123" s="87">
        <v>5</v>
      </c>
      <c r="CG123" s="87">
        <f>CF123*初始权重设定说明!E28</f>
        <v>1.5</v>
      </c>
      <c r="CH123" s="87">
        <f>CF123*权重调整机制!K42</f>
        <v>1.5</v>
      </c>
      <c r="CI123" s="97" t="s">
        <v>1255</v>
      </c>
      <c r="CJ123" s="87">
        <v>10</v>
      </c>
      <c r="CK123" s="87">
        <f>CJ123*初始权重设定说明!E28</f>
        <v>3</v>
      </c>
      <c r="CL123" s="87">
        <f>CJ123*权重调整机制!K42</f>
        <v>3</v>
      </c>
    </row>
    <row r="124" ht="34" customHeight="1" spans="1:90">
      <c r="A124" s="14"/>
      <c r="B124" s="14"/>
      <c r="C124" s="14"/>
      <c r="D124" s="14"/>
      <c r="E124" s="14"/>
      <c r="F124" s="14"/>
      <c r="G124" s="14"/>
      <c r="H124" s="14"/>
      <c r="I124" s="100" t="s">
        <v>649</v>
      </c>
      <c r="J124" s="100">
        <v>5</v>
      </c>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14"/>
      <c r="BZ124" s="14"/>
      <c r="CA124" s="14"/>
      <c r="CB124" s="14"/>
      <c r="CC124" s="14"/>
      <c r="CD124" s="14"/>
      <c r="CE124" s="14"/>
      <c r="CF124" s="14"/>
      <c r="CG124" s="14"/>
      <c r="CH124" s="14"/>
      <c r="CI124" s="14"/>
      <c r="CJ124" s="14"/>
      <c r="CK124" s="14"/>
      <c r="CL124" s="14"/>
    </row>
    <row r="125" ht="34" customHeight="1" spans="1:90">
      <c r="A125" s="14"/>
      <c r="B125" s="14"/>
      <c r="C125" s="15"/>
      <c r="D125" s="15"/>
      <c r="E125" s="15"/>
      <c r="F125" s="15"/>
      <c r="G125" s="15"/>
      <c r="H125" s="15"/>
      <c r="I125" s="100" t="s">
        <v>650</v>
      </c>
      <c r="J125" s="100">
        <v>10</v>
      </c>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row>
    <row r="126" ht="17" customHeight="1" spans="1:90">
      <c r="A126" s="14"/>
      <c r="B126" s="14"/>
      <c r="C126" s="99" t="s">
        <v>473</v>
      </c>
      <c r="D126" s="99" t="s">
        <v>659</v>
      </c>
      <c r="E126" s="99" t="s">
        <v>556</v>
      </c>
      <c r="F126" s="99" t="s">
        <v>660</v>
      </c>
      <c r="G126" s="99"/>
      <c r="H126" s="99" t="s">
        <v>661</v>
      </c>
      <c r="I126" s="100" t="s">
        <v>581</v>
      </c>
      <c r="J126" s="100">
        <v>0</v>
      </c>
      <c r="K126" s="86" t="s">
        <v>1256</v>
      </c>
      <c r="L126" s="87">
        <v>10</v>
      </c>
      <c r="M126" s="87">
        <f>L126*初始权重设定说明!E29</f>
        <v>3</v>
      </c>
      <c r="N126" s="86">
        <f>L126*权重调整机制!K43</f>
        <v>3</v>
      </c>
      <c r="O126" s="86" t="s">
        <v>1257</v>
      </c>
      <c r="P126" s="87">
        <v>10</v>
      </c>
      <c r="Q126" s="87">
        <f>P126*初始权重设定说明!E29</f>
        <v>3</v>
      </c>
      <c r="R126" s="87">
        <f>P126*权重调整机制!K43</f>
        <v>3</v>
      </c>
      <c r="S126" s="86" t="s">
        <v>1258</v>
      </c>
      <c r="T126" s="87">
        <v>10</v>
      </c>
      <c r="U126" s="87">
        <f>T126*初始权重设定说明!E29</f>
        <v>3</v>
      </c>
      <c r="V126" s="87">
        <f>T126*权重调整机制!K43</f>
        <v>3</v>
      </c>
      <c r="W126" s="86" t="s">
        <v>1259</v>
      </c>
      <c r="X126" s="87">
        <v>10</v>
      </c>
      <c r="Y126" s="87">
        <f>X126*初始权重设定说明!E29</f>
        <v>3</v>
      </c>
      <c r="Z126" s="87">
        <f>X126*权重调整机制!K43</f>
        <v>3</v>
      </c>
      <c r="AA126" s="86" t="s">
        <v>1260</v>
      </c>
      <c r="AB126" s="87">
        <v>10</v>
      </c>
      <c r="AC126" s="87">
        <f>AB126*初始权重设定说明!E29</f>
        <v>3</v>
      </c>
      <c r="AD126" s="87">
        <f>AB126*权重调整机制!K43</f>
        <v>3</v>
      </c>
      <c r="AE126" s="86" t="s">
        <v>1261</v>
      </c>
      <c r="AF126" s="87">
        <v>5</v>
      </c>
      <c r="AG126" s="87">
        <f>AF126*初始权重设定说明!E29</f>
        <v>1.5</v>
      </c>
      <c r="AH126" s="87">
        <f>AF126*权重调整机制!K43</f>
        <v>1.5</v>
      </c>
      <c r="AI126" s="86" t="s">
        <v>1262</v>
      </c>
      <c r="AJ126" s="87">
        <v>10</v>
      </c>
      <c r="AK126" s="87">
        <f>AJ126*初始权重设定说明!E29</f>
        <v>3</v>
      </c>
      <c r="AL126" s="87">
        <f>AJ126*权重调整机制!K43</f>
        <v>3</v>
      </c>
      <c r="AM126" s="86" t="s">
        <v>1263</v>
      </c>
      <c r="AN126" s="87">
        <v>5</v>
      </c>
      <c r="AO126" s="87">
        <f>AN126*初始权重设定说明!E29</f>
        <v>1.5</v>
      </c>
      <c r="AP126" s="87">
        <f>AN126*权重调整机制!K43</f>
        <v>1.5</v>
      </c>
      <c r="AQ126" s="86" t="s">
        <v>1264</v>
      </c>
      <c r="AR126" s="87">
        <v>10</v>
      </c>
      <c r="AS126" s="87">
        <f>AR126*初始权重设定说明!E29</f>
        <v>3</v>
      </c>
      <c r="AT126" s="87">
        <f>AR126*权重调整机制!K43</f>
        <v>3</v>
      </c>
      <c r="AU126" s="86" t="s">
        <v>1265</v>
      </c>
      <c r="AV126" s="87">
        <v>10</v>
      </c>
      <c r="AW126" s="87">
        <f>AV126*初始权重设定说明!E29</f>
        <v>3</v>
      </c>
      <c r="AX126" s="87">
        <f>AV126*权重调整机制!K43</f>
        <v>3</v>
      </c>
      <c r="AY126" s="86" t="s">
        <v>1266</v>
      </c>
      <c r="AZ126" s="87">
        <v>10</v>
      </c>
      <c r="BA126" s="87">
        <f>AZ126*初始权重设定说明!E29</f>
        <v>3</v>
      </c>
      <c r="BB126" s="87">
        <f>AZ126*权重调整机制!K43</f>
        <v>3</v>
      </c>
      <c r="BC126" s="86" t="s">
        <v>1267</v>
      </c>
      <c r="BD126" s="87">
        <v>10</v>
      </c>
      <c r="BE126" s="87">
        <f>BD126*初始权重设定说明!E29</f>
        <v>3</v>
      </c>
      <c r="BF126" s="87">
        <f>BD126*权重调整机制!K43</f>
        <v>3</v>
      </c>
      <c r="BG126" s="86" t="s">
        <v>1268</v>
      </c>
      <c r="BH126" s="87">
        <v>10</v>
      </c>
      <c r="BI126" s="87">
        <f>BH126*初始权重设定说明!E29</f>
        <v>3</v>
      </c>
      <c r="BJ126" s="87">
        <f>BH126*权重调整机制!K43</f>
        <v>3</v>
      </c>
      <c r="BK126" s="86" t="s">
        <v>1269</v>
      </c>
      <c r="BL126" s="87">
        <v>10</v>
      </c>
      <c r="BM126" s="87">
        <f>BL126*初始权重设定说明!E29</f>
        <v>3</v>
      </c>
      <c r="BN126" s="87">
        <f>BL126*权重调整机制!K43</f>
        <v>3</v>
      </c>
      <c r="BO126" s="86" t="s">
        <v>1270</v>
      </c>
      <c r="BP126" s="87">
        <v>10</v>
      </c>
      <c r="BQ126" s="87">
        <f>BP126*初始权重设定说明!E29</f>
        <v>3</v>
      </c>
      <c r="BR126" s="87">
        <f>BP126*权重调整机制!K43</f>
        <v>3</v>
      </c>
      <c r="BS126" s="86" t="s">
        <v>1271</v>
      </c>
      <c r="BT126" s="87">
        <v>10</v>
      </c>
      <c r="BU126" s="87">
        <f>BT126*初始权重设定说明!E29</f>
        <v>3</v>
      </c>
      <c r="BV126" s="87">
        <f>BT126*权重调整机制!K43</f>
        <v>3</v>
      </c>
      <c r="BW126" s="86" t="s">
        <v>1272</v>
      </c>
      <c r="BX126" s="87">
        <v>5</v>
      </c>
      <c r="BY126" s="87">
        <f>BX126*初始权重设定说明!E29</f>
        <v>1.5</v>
      </c>
      <c r="BZ126" s="87">
        <f>BX126*权重调整机制!K43</f>
        <v>1.5</v>
      </c>
      <c r="CA126" s="86" t="s">
        <v>1273</v>
      </c>
      <c r="CB126" s="87">
        <v>5</v>
      </c>
      <c r="CC126" s="87">
        <f>CB126*初始权重设定说明!E29</f>
        <v>1.5</v>
      </c>
      <c r="CD126" s="87">
        <f>CB126*权重调整机制!K43</f>
        <v>1.5</v>
      </c>
      <c r="CE126" s="86" t="s">
        <v>1274</v>
      </c>
      <c r="CF126" s="87">
        <v>10</v>
      </c>
      <c r="CG126" s="87">
        <f>CF126*初始权重设定说明!E29</f>
        <v>3</v>
      </c>
      <c r="CH126" s="87">
        <f>CF126*权重调整机制!K43</f>
        <v>3</v>
      </c>
      <c r="CI126" s="86" t="s">
        <v>1275</v>
      </c>
      <c r="CJ126" s="87">
        <v>10</v>
      </c>
      <c r="CK126" s="87">
        <f>CJ126*初始权重设定说明!E29</f>
        <v>3</v>
      </c>
      <c r="CL126" s="87">
        <f>CJ126*权重调整机制!K43</f>
        <v>3</v>
      </c>
    </row>
    <row r="127" ht="17" customHeight="1" spans="1:90">
      <c r="A127" s="14"/>
      <c r="B127" s="14"/>
      <c r="C127" s="14"/>
      <c r="D127" s="14"/>
      <c r="E127" s="14"/>
      <c r="F127" s="14"/>
      <c r="G127" s="14"/>
      <c r="H127" s="14"/>
      <c r="I127" s="100" t="s">
        <v>649</v>
      </c>
      <c r="J127" s="100">
        <v>5</v>
      </c>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4"/>
      <c r="CE127" s="14"/>
      <c r="CF127" s="14"/>
      <c r="CG127" s="14"/>
      <c r="CH127" s="14"/>
      <c r="CI127" s="14"/>
      <c r="CJ127" s="14"/>
      <c r="CK127" s="14"/>
      <c r="CL127" s="14"/>
    </row>
    <row r="128" ht="17" customHeight="1" spans="1:90">
      <c r="A128" s="14"/>
      <c r="B128" s="14"/>
      <c r="C128" s="15"/>
      <c r="D128" s="15"/>
      <c r="E128" s="15"/>
      <c r="F128" s="15"/>
      <c r="G128" s="15"/>
      <c r="H128" s="15"/>
      <c r="I128" s="100" t="s">
        <v>650</v>
      </c>
      <c r="J128" s="100">
        <v>10</v>
      </c>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row>
    <row r="129" ht="17" customHeight="1" spans="1:90">
      <c r="A129" s="14"/>
      <c r="B129" s="14"/>
      <c r="C129" s="99" t="s">
        <v>476</v>
      </c>
      <c r="D129" s="100" t="s">
        <v>662</v>
      </c>
      <c r="E129" s="99" t="s">
        <v>629</v>
      </c>
      <c r="F129" s="99" t="s">
        <v>663</v>
      </c>
      <c r="G129" s="100"/>
      <c r="H129" s="100" t="s">
        <v>664</v>
      </c>
      <c r="I129" s="100" t="s">
        <v>581</v>
      </c>
      <c r="J129" s="100">
        <v>0</v>
      </c>
      <c r="K129" s="86" t="s">
        <v>1276</v>
      </c>
      <c r="L129" s="87">
        <v>5</v>
      </c>
      <c r="M129" s="87">
        <f>SUM(L129:L132)*初始权重设定说明!E30</f>
        <v>3</v>
      </c>
      <c r="N129" s="86">
        <f>SUM(L129:L132)*权重调整机制!K44</f>
        <v>3</v>
      </c>
      <c r="O129" s="86" t="s">
        <v>1277</v>
      </c>
      <c r="P129" s="87">
        <v>5</v>
      </c>
      <c r="Q129" s="87">
        <f>SUM(P129:P132)*初始权重设定说明!E30</f>
        <v>1.5</v>
      </c>
      <c r="R129" s="87">
        <f>SUM(P129:P132)*权重调整机制!K44</f>
        <v>1.5</v>
      </c>
      <c r="S129" s="86" t="s">
        <v>1278</v>
      </c>
      <c r="T129" s="87">
        <v>5</v>
      </c>
      <c r="U129" s="87">
        <f>SUM(T129:T132)*初始权重设定说明!E30</f>
        <v>3</v>
      </c>
      <c r="V129" s="87">
        <f>SUM(T129:T132)*权重调整机制!K44</f>
        <v>3</v>
      </c>
      <c r="W129" s="86" t="s">
        <v>1279</v>
      </c>
      <c r="X129" s="87">
        <v>5</v>
      </c>
      <c r="Y129" s="87">
        <f>SUM(X129:X132)*初始权重设定说明!E30</f>
        <v>3</v>
      </c>
      <c r="Z129" s="87">
        <f>SUM(X129:X132)*权重调整机制!K44</f>
        <v>3</v>
      </c>
      <c r="AA129" s="86" t="s">
        <v>1280</v>
      </c>
      <c r="AB129" s="87">
        <v>5</v>
      </c>
      <c r="AC129" s="87">
        <f>SUM(AB129:AB132)*初始权重设定说明!E30</f>
        <v>1.5</v>
      </c>
      <c r="AD129" s="87">
        <f>SUM(AB129:AB132)*权重调整机制!K44</f>
        <v>1.5</v>
      </c>
      <c r="AE129" s="86" t="s">
        <v>1281</v>
      </c>
      <c r="AF129" s="87">
        <v>5</v>
      </c>
      <c r="AG129" s="87">
        <f>SUM(AF129:AF132)*初始权重设定说明!E30</f>
        <v>3</v>
      </c>
      <c r="AH129" s="87">
        <f>SUM(AF129:AF132)*权重调整机制!K44</f>
        <v>3</v>
      </c>
      <c r="AI129" s="86" t="s">
        <v>1282</v>
      </c>
      <c r="AJ129" s="87">
        <v>5</v>
      </c>
      <c r="AK129" s="87">
        <f>SUM(AJ129:AJ132)*初始权重设定说明!E30</f>
        <v>3</v>
      </c>
      <c r="AL129" s="87">
        <f>SUM(AJ129:AJ132)*权重调整机制!K44</f>
        <v>3</v>
      </c>
      <c r="AM129" s="86" t="s">
        <v>1283</v>
      </c>
      <c r="AN129" s="87">
        <v>5</v>
      </c>
      <c r="AO129" s="87">
        <f>SUM(AN129:AN132)*初始权重设定说明!E30</f>
        <v>1.5</v>
      </c>
      <c r="AP129" s="87">
        <f>SUM(AN129:AN132)*权重调整机制!K44</f>
        <v>1.5</v>
      </c>
      <c r="AQ129" s="86" t="s">
        <v>1284</v>
      </c>
      <c r="AR129" s="87">
        <v>5</v>
      </c>
      <c r="AS129" s="87">
        <f>SUM(AR129:AR132)*初始权重设定说明!E30</f>
        <v>3</v>
      </c>
      <c r="AT129" s="87">
        <f>SUM(AR129:AR132)*权重调整机制!K44</f>
        <v>3</v>
      </c>
      <c r="AU129" s="86" t="s">
        <v>1285</v>
      </c>
      <c r="AV129" s="87">
        <v>5</v>
      </c>
      <c r="AW129" s="87">
        <f>SUM(AV129:AV132)*初始权重设定说明!E30</f>
        <v>3</v>
      </c>
      <c r="AX129" s="87">
        <f>SUM(AV129:AV132)*权重调整机制!K44</f>
        <v>3</v>
      </c>
      <c r="AY129" s="86" t="s">
        <v>1286</v>
      </c>
      <c r="AZ129" s="87">
        <v>5</v>
      </c>
      <c r="BA129" s="87">
        <f>SUM(AZ129:AZ132)*初始权重设定说明!E30</f>
        <v>3</v>
      </c>
      <c r="BB129" s="87">
        <f>SUM(AZ129:AZ132)*权重调整机制!K44</f>
        <v>3</v>
      </c>
      <c r="BC129" s="86" t="s">
        <v>1287</v>
      </c>
      <c r="BD129" s="87">
        <v>5</v>
      </c>
      <c r="BE129" s="87">
        <f>SUM(BD129:BD132)*初始权重设定说明!E30</f>
        <v>3</v>
      </c>
      <c r="BF129" s="87">
        <f>SUM(BD129:BD132)*权重调整机制!K44</f>
        <v>3</v>
      </c>
      <c r="BG129" s="86" t="s">
        <v>1288</v>
      </c>
      <c r="BH129" s="87">
        <v>5</v>
      </c>
      <c r="BI129" s="87">
        <f>SUM(BH129:BH132)*初始权重设定说明!E30</f>
        <v>3</v>
      </c>
      <c r="BJ129" s="87">
        <f>SUM(BH129:BH132)*权重调整机制!K44</f>
        <v>3</v>
      </c>
      <c r="BK129" s="86" t="s">
        <v>1289</v>
      </c>
      <c r="BL129" s="87">
        <v>5</v>
      </c>
      <c r="BM129" s="87">
        <f>SUM(BL129:BL132)*初始权重设定说明!E30</f>
        <v>3</v>
      </c>
      <c r="BN129" s="87">
        <f>SUM(BL129:BL132)*权重调整机制!K44</f>
        <v>3</v>
      </c>
      <c r="BO129" s="86" t="s">
        <v>1290</v>
      </c>
      <c r="BP129" s="87">
        <v>5</v>
      </c>
      <c r="BQ129" s="87">
        <f>SUM(BP129:BP132)*初始权重设定说明!E30</f>
        <v>1.5</v>
      </c>
      <c r="BR129" s="87">
        <f>SUM(BP129:BP132)*权重调整机制!K44</f>
        <v>1.5</v>
      </c>
      <c r="BS129" s="86" t="s">
        <v>1291</v>
      </c>
      <c r="BT129" s="87">
        <v>5</v>
      </c>
      <c r="BU129" s="87">
        <f>SUM(BT129:BT132)*初始权重设定说明!E30</f>
        <v>3</v>
      </c>
      <c r="BV129" s="87">
        <f>SUM(BT129:BT132)*权重调整机制!K44</f>
        <v>3</v>
      </c>
      <c r="BW129" s="86" t="s">
        <v>1292</v>
      </c>
      <c r="BX129" s="87">
        <v>5</v>
      </c>
      <c r="BY129" s="87">
        <f>SUM(BX129:BX132)*初始权重设定说明!E30</f>
        <v>3</v>
      </c>
      <c r="BZ129" s="87">
        <f>SUM(BX129:BX132)*权重调整机制!K44</f>
        <v>3</v>
      </c>
      <c r="CA129" s="86" t="s">
        <v>1293</v>
      </c>
      <c r="CB129" s="87">
        <v>5</v>
      </c>
      <c r="CC129" s="87">
        <f>SUM(CB129:CB132)*初始权重设定说明!E30</f>
        <v>3</v>
      </c>
      <c r="CD129" s="87">
        <f>SUM(CB129:CB132)*权重调整机制!K44</f>
        <v>3</v>
      </c>
      <c r="CE129" s="86" t="s">
        <v>1294</v>
      </c>
      <c r="CF129" s="87">
        <v>5</v>
      </c>
      <c r="CG129" s="87">
        <f>SUM(CF129:CF132)*初始权重设定说明!E30</f>
        <v>1.5</v>
      </c>
      <c r="CH129" s="87">
        <f>SUM(CF129:CF132)*权重调整机制!K44</f>
        <v>1.5</v>
      </c>
      <c r="CI129" s="86" t="s">
        <v>1295</v>
      </c>
      <c r="CJ129" s="87">
        <v>5</v>
      </c>
      <c r="CK129" s="87">
        <f>SUM(CJ129:CJ132)*初始权重设定说明!E30</f>
        <v>1.5</v>
      </c>
      <c r="CL129" s="87">
        <f>SUM(CJ129:CJ132)*权重调整机制!K44</f>
        <v>1.5</v>
      </c>
    </row>
    <row r="130" ht="17" customHeight="1" spans="1:90">
      <c r="A130" s="14"/>
      <c r="B130" s="14"/>
      <c r="C130" s="14"/>
      <c r="D130" s="14"/>
      <c r="E130" s="14"/>
      <c r="F130" s="15"/>
      <c r="G130" s="15"/>
      <c r="H130" s="15"/>
      <c r="I130" s="100" t="s">
        <v>582</v>
      </c>
      <c r="J130" s="100">
        <v>5</v>
      </c>
      <c r="K130" s="15"/>
      <c r="L130" s="15"/>
      <c r="M130" s="14"/>
      <c r="N130" s="14"/>
      <c r="O130" s="15"/>
      <c r="P130" s="15"/>
      <c r="Q130" s="14"/>
      <c r="R130" s="14"/>
      <c r="S130" s="15"/>
      <c r="T130" s="15"/>
      <c r="U130" s="14"/>
      <c r="V130" s="14"/>
      <c r="W130" s="15"/>
      <c r="X130" s="15"/>
      <c r="Y130" s="14"/>
      <c r="Z130" s="14"/>
      <c r="AA130" s="15"/>
      <c r="AB130" s="15"/>
      <c r="AC130" s="14"/>
      <c r="AD130" s="14"/>
      <c r="AE130" s="15"/>
      <c r="AF130" s="15"/>
      <c r="AG130" s="14"/>
      <c r="AH130" s="14"/>
      <c r="AI130" s="15"/>
      <c r="AJ130" s="15"/>
      <c r="AK130" s="14"/>
      <c r="AL130" s="14"/>
      <c r="AM130" s="15"/>
      <c r="AN130" s="15"/>
      <c r="AO130" s="14"/>
      <c r="AP130" s="14"/>
      <c r="AQ130" s="15"/>
      <c r="AR130" s="15"/>
      <c r="AS130" s="14"/>
      <c r="AT130" s="14"/>
      <c r="AU130" s="15"/>
      <c r="AV130" s="15"/>
      <c r="AW130" s="14"/>
      <c r="AX130" s="14"/>
      <c r="AY130" s="15"/>
      <c r="AZ130" s="15"/>
      <c r="BA130" s="14"/>
      <c r="BB130" s="14"/>
      <c r="BC130" s="15"/>
      <c r="BD130" s="15"/>
      <c r="BE130" s="14"/>
      <c r="BF130" s="14"/>
      <c r="BG130" s="15"/>
      <c r="BH130" s="15"/>
      <c r="BI130" s="14"/>
      <c r="BJ130" s="14"/>
      <c r="BK130" s="15"/>
      <c r="BL130" s="15"/>
      <c r="BM130" s="14"/>
      <c r="BN130" s="14"/>
      <c r="BO130" s="15"/>
      <c r="BP130" s="15"/>
      <c r="BQ130" s="14"/>
      <c r="BR130" s="14"/>
      <c r="BS130" s="15"/>
      <c r="BT130" s="15"/>
      <c r="BU130" s="14"/>
      <c r="BV130" s="14"/>
      <c r="BW130" s="15"/>
      <c r="BX130" s="15"/>
      <c r="BY130" s="14"/>
      <c r="BZ130" s="14"/>
      <c r="CA130" s="15"/>
      <c r="CB130" s="15"/>
      <c r="CC130" s="14"/>
      <c r="CD130" s="14"/>
      <c r="CE130" s="15"/>
      <c r="CF130" s="15"/>
      <c r="CG130" s="14"/>
      <c r="CH130" s="14"/>
      <c r="CI130" s="15"/>
      <c r="CJ130" s="15"/>
      <c r="CK130" s="14"/>
      <c r="CL130" s="14"/>
    </row>
    <row r="131" ht="17" customHeight="1" spans="1:90">
      <c r="A131" s="14"/>
      <c r="B131" s="14"/>
      <c r="C131" s="14"/>
      <c r="D131" s="14"/>
      <c r="E131" s="14"/>
      <c r="F131" s="99" t="s">
        <v>665</v>
      </c>
      <c r="G131" s="100"/>
      <c r="H131" s="100" t="s">
        <v>666</v>
      </c>
      <c r="I131" s="100" t="s">
        <v>581</v>
      </c>
      <c r="J131" s="100">
        <v>0</v>
      </c>
      <c r="K131" s="86" t="s">
        <v>1296</v>
      </c>
      <c r="L131" s="87">
        <v>5</v>
      </c>
      <c r="M131" s="14"/>
      <c r="N131" s="14"/>
      <c r="O131" s="109" t="s">
        <v>1297</v>
      </c>
      <c r="P131" s="87">
        <v>0</v>
      </c>
      <c r="Q131" s="14"/>
      <c r="R131" s="14"/>
      <c r="S131" s="86" t="s">
        <v>1298</v>
      </c>
      <c r="T131" s="87">
        <v>5</v>
      </c>
      <c r="U131" s="14"/>
      <c r="V131" s="14"/>
      <c r="W131" s="86" t="s">
        <v>1299</v>
      </c>
      <c r="X131" s="87">
        <v>5</v>
      </c>
      <c r="Y131" s="14"/>
      <c r="Z131" s="14"/>
      <c r="AA131" s="90" t="s">
        <v>1217</v>
      </c>
      <c r="AB131" s="87">
        <v>0</v>
      </c>
      <c r="AC131" s="14"/>
      <c r="AD131" s="14"/>
      <c r="AE131" s="86" t="s">
        <v>1300</v>
      </c>
      <c r="AF131" s="87">
        <v>5</v>
      </c>
      <c r="AG131" s="14"/>
      <c r="AH131" s="14"/>
      <c r="AI131" s="86" t="s">
        <v>1301</v>
      </c>
      <c r="AJ131" s="87">
        <v>5</v>
      </c>
      <c r="AK131" s="14"/>
      <c r="AL131" s="14"/>
      <c r="AM131" s="90" t="s">
        <v>1217</v>
      </c>
      <c r="AN131" s="87">
        <v>0</v>
      </c>
      <c r="AO131" s="14"/>
      <c r="AP131" s="14"/>
      <c r="AQ131" s="86" t="s">
        <v>1302</v>
      </c>
      <c r="AR131" s="87">
        <v>5</v>
      </c>
      <c r="AS131" s="14"/>
      <c r="AT131" s="14"/>
      <c r="AU131" s="86" t="s">
        <v>1303</v>
      </c>
      <c r="AV131" s="87">
        <v>5</v>
      </c>
      <c r="AW131" s="14"/>
      <c r="AX131" s="14"/>
      <c r="AY131" s="86" t="s">
        <v>1304</v>
      </c>
      <c r="AZ131" s="87">
        <v>5</v>
      </c>
      <c r="BA131" s="14"/>
      <c r="BB131" s="14"/>
      <c r="BC131" s="86" t="s">
        <v>1305</v>
      </c>
      <c r="BD131" s="87">
        <v>5</v>
      </c>
      <c r="BE131" s="14"/>
      <c r="BF131" s="14"/>
      <c r="BG131" s="86" t="s">
        <v>1306</v>
      </c>
      <c r="BH131" s="87">
        <v>5</v>
      </c>
      <c r="BI131" s="14"/>
      <c r="BJ131" s="14"/>
      <c r="BK131" s="86" t="s">
        <v>1307</v>
      </c>
      <c r="BL131" s="87">
        <v>5</v>
      </c>
      <c r="BM131" s="14"/>
      <c r="BN131" s="14"/>
      <c r="BO131" s="91" t="s">
        <v>1308</v>
      </c>
      <c r="BP131" s="87">
        <v>0</v>
      </c>
      <c r="BQ131" s="14"/>
      <c r="BR131" s="14"/>
      <c r="BS131" s="86" t="s">
        <v>1309</v>
      </c>
      <c r="BT131" s="87">
        <v>5</v>
      </c>
      <c r="BU131" s="14"/>
      <c r="BV131" s="14"/>
      <c r="BW131" s="86" t="s">
        <v>1310</v>
      </c>
      <c r="BX131" s="87">
        <v>5</v>
      </c>
      <c r="BY131" s="14"/>
      <c r="BZ131" s="14"/>
      <c r="CA131" s="86" t="s">
        <v>1311</v>
      </c>
      <c r="CB131" s="87">
        <v>5</v>
      </c>
      <c r="CC131" s="14"/>
      <c r="CD131" s="14"/>
      <c r="CE131" s="91" t="s">
        <v>1308</v>
      </c>
      <c r="CF131" s="87">
        <v>0</v>
      </c>
      <c r="CG131" s="14"/>
      <c r="CH131" s="14"/>
      <c r="CI131" s="91" t="s">
        <v>1308</v>
      </c>
      <c r="CJ131" s="87">
        <v>0</v>
      </c>
      <c r="CK131" s="14"/>
      <c r="CL131" s="14"/>
    </row>
    <row r="132" ht="17" customHeight="1" spans="1:90">
      <c r="A132" s="14"/>
      <c r="B132" s="14"/>
      <c r="C132" s="15"/>
      <c r="D132" s="15"/>
      <c r="E132" s="15"/>
      <c r="F132" s="15"/>
      <c r="G132" s="15"/>
      <c r="H132" s="15"/>
      <c r="I132" s="100" t="s">
        <v>582</v>
      </c>
      <c r="J132" s="100">
        <v>5</v>
      </c>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row>
    <row r="133" spans="1:90">
      <c r="A133" s="14"/>
      <c r="B133" s="14"/>
      <c r="C133" s="80" t="s">
        <v>479</v>
      </c>
      <c r="D133" s="75" t="s">
        <v>480</v>
      </c>
      <c r="E133" s="80" t="s">
        <v>601</v>
      </c>
      <c r="F133" s="80" t="s">
        <v>602</v>
      </c>
      <c r="G133" s="82"/>
      <c r="H133" s="75" t="s">
        <v>667</v>
      </c>
      <c r="I133" s="79" t="s">
        <v>604</v>
      </c>
      <c r="J133" s="79">
        <v>0</v>
      </c>
      <c r="K133" s="86" t="s">
        <v>1312</v>
      </c>
      <c r="L133" s="87">
        <v>0.29</v>
      </c>
      <c r="M133" s="87">
        <f>SUM(L133:L138)*初始权重设定说明!E31</f>
        <v>2.187</v>
      </c>
      <c r="N133" s="90">
        <f>SUM(L133:L138)*权重调整机制!K45</f>
        <v>2.187</v>
      </c>
      <c r="O133" s="90" t="s">
        <v>1313</v>
      </c>
      <c r="P133" s="91">
        <v>0</v>
      </c>
      <c r="Q133" s="87">
        <f>SUM(P133:P138)*初始权重设定说明!E31</f>
        <v>0</v>
      </c>
      <c r="R133" s="87">
        <f>SUM(P133:P138)*权重调整机制!K45</f>
        <v>0</v>
      </c>
      <c r="S133" s="91" t="s">
        <v>1314</v>
      </c>
      <c r="T133" s="91">
        <v>0</v>
      </c>
      <c r="U133" s="91">
        <f>SUM(T133:T138)*初始权重设定说明!E31</f>
        <v>0</v>
      </c>
      <c r="V133" s="91">
        <f>SUM(T133:T138)*权重调整机制!K45</f>
        <v>0</v>
      </c>
      <c r="W133" s="91" t="s">
        <v>1315</v>
      </c>
      <c r="X133" s="91">
        <v>0</v>
      </c>
      <c r="Y133" s="91">
        <f>SUM(X133:X138)*初始权重设定说明!E31</f>
        <v>0</v>
      </c>
      <c r="Z133" s="91">
        <f>SUM(X133:X138)*权重调整机制!K45</f>
        <v>0</v>
      </c>
      <c r="AA133" s="91" t="s">
        <v>1315</v>
      </c>
      <c r="AB133" s="91">
        <v>0</v>
      </c>
      <c r="AC133" s="91">
        <f>SUM(AB133:AB138)*初始权重设定说明!E31</f>
        <v>0</v>
      </c>
      <c r="AD133" s="91">
        <f>SUM(AB133:AB138)*权重调整机制!K45</f>
        <v>0</v>
      </c>
      <c r="AE133" s="86" t="s">
        <v>1316</v>
      </c>
      <c r="AF133" s="87">
        <v>0.62</v>
      </c>
      <c r="AG133" s="96">
        <f>SUM(AF133:AF138)*初始权重设定说明!E31</f>
        <v>1.353</v>
      </c>
      <c r="AH133" s="96">
        <f>SUM(AF133:AF138)*权重调整机制!K45</f>
        <v>1.353</v>
      </c>
      <c r="AI133" s="86" t="s">
        <v>1317</v>
      </c>
      <c r="AJ133" s="87">
        <v>0</v>
      </c>
      <c r="AK133" s="96">
        <f>SUM(AJ133:AJ138)*初始权重设定说明!E31</f>
        <v>0.699</v>
      </c>
      <c r="AL133" s="96">
        <f>SUM(AJ133:AJ138)*权重调整机制!K45</f>
        <v>0.699</v>
      </c>
      <c r="AM133" s="86" t="s">
        <v>1318</v>
      </c>
      <c r="AN133" s="87">
        <v>1.06</v>
      </c>
      <c r="AO133" s="96">
        <f>SUM(AN133:AN138)*初始权重设定说明!E31</f>
        <v>1.647</v>
      </c>
      <c r="AP133" s="96">
        <f>SUM(AN133:AN138)*权重调整机制!K45</f>
        <v>1.647</v>
      </c>
      <c r="AQ133" s="91" t="s">
        <v>1315</v>
      </c>
      <c r="AR133" s="91">
        <v>0</v>
      </c>
      <c r="AS133" s="91">
        <f>SUM(AR133:AR138)*初始权重设定说明!E31</f>
        <v>0</v>
      </c>
      <c r="AT133" s="91">
        <f>SUM(AR133:AR138)*权重调整机制!K45</f>
        <v>0</v>
      </c>
      <c r="AU133" s="91" t="s">
        <v>1315</v>
      </c>
      <c r="AV133" s="91">
        <v>0</v>
      </c>
      <c r="AW133" s="91">
        <f>SUM(AV133:AV138)*初始权重设定说明!E31</f>
        <v>0</v>
      </c>
      <c r="AX133" s="91">
        <f>SUM(AV133:AV138)*权重调整机制!K45</f>
        <v>0</v>
      </c>
      <c r="AY133" s="91" t="s">
        <v>1315</v>
      </c>
      <c r="AZ133" s="91">
        <v>0</v>
      </c>
      <c r="BA133" s="91">
        <f>SUM(AZ133:AZ138)*初始权重设定说明!E31</f>
        <v>0</v>
      </c>
      <c r="BB133" s="91">
        <f>SUM(AZ133:AZ138)*权重调整机制!K45</f>
        <v>0</v>
      </c>
      <c r="BC133" s="91" t="s">
        <v>1319</v>
      </c>
      <c r="BD133" s="91">
        <v>0</v>
      </c>
      <c r="BE133" s="91">
        <f>SUM(BD133:BD138)*初始权重设定说明!E31</f>
        <v>0</v>
      </c>
      <c r="BF133" s="91">
        <f>SUM(BD133:BD138)*权重调整机制!K45</f>
        <v>0</v>
      </c>
      <c r="BG133" s="86" t="s">
        <v>1320</v>
      </c>
      <c r="BH133" s="96">
        <v>0.1</v>
      </c>
      <c r="BI133" s="96">
        <f>SUM(BH133:BH138)*初始权重设定说明!E31</f>
        <v>2.106</v>
      </c>
      <c r="BJ133" s="96">
        <f>SUM(BH133:BH138)*权重调整机制!K45</f>
        <v>2.106</v>
      </c>
      <c r="BK133" s="97" t="s">
        <v>1321</v>
      </c>
      <c r="BL133" s="96">
        <v>3</v>
      </c>
      <c r="BM133" s="96">
        <f>SUM(BL133:BL138)*初始权重设定说明!E31</f>
        <v>1.974</v>
      </c>
      <c r="BN133" s="96">
        <f>SUM(BL133:BL138)*权重调整机制!K45</f>
        <v>1.974</v>
      </c>
      <c r="BO133" s="91" t="s">
        <v>1315</v>
      </c>
      <c r="BP133" s="91">
        <v>0</v>
      </c>
      <c r="BQ133" s="91">
        <f>SUM(BP133:BP138)*初始权重设定说明!E31</f>
        <v>0</v>
      </c>
      <c r="BR133" s="91">
        <f>SUM(BP133:BP138)*权重调整机制!K45</f>
        <v>0</v>
      </c>
      <c r="BS133" s="91" t="s">
        <v>1315</v>
      </c>
      <c r="BT133" s="91">
        <v>0</v>
      </c>
      <c r="BU133" s="91">
        <f>SUM(BT133:BT138)*初始权重设定说明!E31</f>
        <v>0</v>
      </c>
      <c r="BV133" s="91">
        <f>SUM(BT133:BT138)*权重调整机制!K45</f>
        <v>0</v>
      </c>
      <c r="BW133" s="91" t="s">
        <v>1315</v>
      </c>
      <c r="BX133" s="91">
        <v>0</v>
      </c>
      <c r="BY133" s="91">
        <f>SUM(BX133:BX138)*初始权重设定说明!E31</f>
        <v>0</v>
      </c>
      <c r="BZ133" s="91">
        <f>SUM(BX133:BX138)*权重调整机制!K45</f>
        <v>0</v>
      </c>
      <c r="CA133" s="91" t="s">
        <v>1315</v>
      </c>
      <c r="CB133" s="91">
        <v>0</v>
      </c>
      <c r="CC133" s="91">
        <f>SUM(CB133:CB138)*初始权重设定说明!E31</f>
        <v>0</v>
      </c>
      <c r="CD133" s="91">
        <f>SUM(CB133:CB138)*权重调整机制!K45</f>
        <v>0</v>
      </c>
      <c r="CE133" s="91" t="s">
        <v>1315</v>
      </c>
      <c r="CF133" s="91">
        <v>0</v>
      </c>
      <c r="CG133" s="91">
        <f>SUM(CF133:CF138)*初始权重设定说明!E31</f>
        <v>0</v>
      </c>
      <c r="CH133" s="91">
        <f>SUM(CF133:CF138)*权重调整机制!K45</f>
        <v>0</v>
      </c>
      <c r="CI133" s="91" t="s">
        <v>1315</v>
      </c>
      <c r="CJ133" s="91">
        <v>0</v>
      </c>
      <c r="CK133" s="91">
        <f>SUM(CJ133:CJ138)*初始权重设定说明!E31</f>
        <v>0</v>
      </c>
      <c r="CL133" s="91">
        <f>SUM(CJ133:CJ138)*权重调整机制!K45</f>
        <v>0</v>
      </c>
    </row>
    <row r="134" ht="101" customHeight="1" spans="1:90">
      <c r="A134" s="14"/>
      <c r="B134" s="14"/>
      <c r="C134" s="14"/>
      <c r="D134" s="14"/>
      <c r="E134" s="14"/>
      <c r="F134" s="14"/>
      <c r="G134" s="14"/>
      <c r="H134" s="14"/>
      <c r="I134" s="79" t="s">
        <v>607</v>
      </c>
      <c r="J134" s="75" t="s">
        <v>608</v>
      </c>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14"/>
      <c r="BZ134" s="14"/>
      <c r="CA134" s="14"/>
      <c r="CB134" s="14"/>
      <c r="CC134" s="14"/>
      <c r="CD134" s="14"/>
      <c r="CE134" s="14"/>
      <c r="CF134" s="14"/>
      <c r="CG134" s="14"/>
      <c r="CH134" s="14"/>
      <c r="CI134" s="14"/>
      <c r="CJ134" s="14"/>
      <c r="CK134" s="14"/>
      <c r="CL134" s="14"/>
    </row>
    <row r="135" spans="1:90">
      <c r="A135" s="14"/>
      <c r="B135" s="14"/>
      <c r="C135" s="14"/>
      <c r="D135" s="14"/>
      <c r="E135" s="14"/>
      <c r="F135" s="15"/>
      <c r="G135" s="15"/>
      <c r="H135" s="15"/>
      <c r="I135" s="79" t="s">
        <v>609</v>
      </c>
      <c r="J135" s="79">
        <v>10</v>
      </c>
      <c r="K135" s="15"/>
      <c r="L135" s="15"/>
      <c r="M135" s="14"/>
      <c r="N135" s="14"/>
      <c r="O135" s="15"/>
      <c r="P135" s="15"/>
      <c r="Q135" s="14"/>
      <c r="R135" s="14"/>
      <c r="S135" s="15"/>
      <c r="T135" s="15"/>
      <c r="U135" s="14"/>
      <c r="V135" s="14"/>
      <c r="W135" s="15"/>
      <c r="X135" s="15"/>
      <c r="Y135" s="14"/>
      <c r="Z135" s="14"/>
      <c r="AA135" s="15"/>
      <c r="AB135" s="15"/>
      <c r="AC135" s="14"/>
      <c r="AD135" s="14"/>
      <c r="AE135" s="15"/>
      <c r="AF135" s="15"/>
      <c r="AG135" s="14"/>
      <c r="AH135" s="14"/>
      <c r="AI135" s="15"/>
      <c r="AJ135" s="15"/>
      <c r="AK135" s="14"/>
      <c r="AL135" s="14"/>
      <c r="AM135" s="15"/>
      <c r="AN135" s="15"/>
      <c r="AO135" s="14"/>
      <c r="AP135" s="14"/>
      <c r="AQ135" s="15"/>
      <c r="AR135" s="15"/>
      <c r="AS135" s="14"/>
      <c r="AT135" s="14"/>
      <c r="AU135" s="15"/>
      <c r="AV135" s="15"/>
      <c r="AW135" s="14"/>
      <c r="AX135" s="14"/>
      <c r="AY135" s="15"/>
      <c r="AZ135" s="15"/>
      <c r="BA135" s="14"/>
      <c r="BB135" s="14"/>
      <c r="BC135" s="15"/>
      <c r="BD135" s="15"/>
      <c r="BE135" s="14"/>
      <c r="BF135" s="14"/>
      <c r="BG135" s="15"/>
      <c r="BH135" s="15"/>
      <c r="BI135" s="14"/>
      <c r="BJ135" s="14"/>
      <c r="BK135" s="15"/>
      <c r="BL135" s="15"/>
      <c r="BM135" s="14"/>
      <c r="BN135" s="14"/>
      <c r="BO135" s="15"/>
      <c r="BP135" s="15"/>
      <c r="BQ135" s="14"/>
      <c r="BR135" s="14"/>
      <c r="BS135" s="15"/>
      <c r="BT135" s="15"/>
      <c r="BU135" s="14"/>
      <c r="BV135" s="14"/>
      <c r="BW135" s="15"/>
      <c r="BX135" s="15"/>
      <c r="BY135" s="14"/>
      <c r="BZ135" s="14"/>
      <c r="CA135" s="15"/>
      <c r="CB135" s="15"/>
      <c r="CC135" s="14"/>
      <c r="CD135" s="14"/>
      <c r="CE135" s="15"/>
      <c r="CF135" s="15"/>
      <c r="CG135" s="14"/>
      <c r="CH135" s="14"/>
      <c r="CI135" s="15"/>
      <c r="CJ135" s="15"/>
      <c r="CK135" s="14"/>
      <c r="CL135" s="14"/>
    </row>
    <row r="136" spans="1:90">
      <c r="A136" s="14"/>
      <c r="B136" s="14"/>
      <c r="C136" s="14"/>
      <c r="D136" s="14"/>
      <c r="E136" s="14"/>
      <c r="F136" s="80" t="s">
        <v>610</v>
      </c>
      <c r="G136" s="75"/>
      <c r="H136" s="75" t="s">
        <v>668</v>
      </c>
      <c r="I136" s="79" t="s">
        <v>618</v>
      </c>
      <c r="J136" s="79">
        <v>0</v>
      </c>
      <c r="K136" s="86" t="s">
        <v>1322</v>
      </c>
      <c r="L136" s="87">
        <v>7</v>
      </c>
      <c r="M136" s="14"/>
      <c r="N136" s="14"/>
      <c r="O136" s="86" t="s">
        <v>1323</v>
      </c>
      <c r="P136" s="87">
        <v>0</v>
      </c>
      <c r="Q136" s="14"/>
      <c r="R136" s="14"/>
      <c r="S136" s="91" t="s">
        <v>1324</v>
      </c>
      <c r="T136" s="91">
        <v>0</v>
      </c>
      <c r="U136" s="14"/>
      <c r="V136" s="14"/>
      <c r="W136" s="91" t="s">
        <v>1319</v>
      </c>
      <c r="X136" s="91">
        <v>0</v>
      </c>
      <c r="Y136" s="14"/>
      <c r="Z136" s="14"/>
      <c r="AA136" s="91" t="s">
        <v>1319</v>
      </c>
      <c r="AB136" s="91">
        <v>0</v>
      </c>
      <c r="AC136" s="14"/>
      <c r="AD136" s="14"/>
      <c r="AE136" s="86" t="s">
        <v>1325</v>
      </c>
      <c r="AF136" s="87">
        <v>3.89</v>
      </c>
      <c r="AG136" s="14"/>
      <c r="AH136" s="14"/>
      <c r="AI136" s="86" t="s">
        <v>1326</v>
      </c>
      <c r="AJ136" s="87">
        <v>2.33</v>
      </c>
      <c r="AK136" s="14"/>
      <c r="AL136" s="14"/>
      <c r="AM136" s="86" t="s">
        <v>1327</v>
      </c>
      <c r="AN136" s="87">
        <v>4.43</v>
      </c>
      <c r="AO136" s="14"/>
      <c r="AP136" s="14"/>
      <c r="AQ136" s="91" t="s">
        <v>1319</v>
      </c>
      <c r="AR136" s="91">
        <v>0</v>
      </c>
      <c r="AS136" s="14"/>
      <c r="AT136" s="14"/>
      <c r="AU136" s="91" t="s">
        <v>1315</v>
      </c>
      <c r="AV136" s="91">
        <v>0</v>
      </c>
      <c r="AW136" s="14"/>
      <c r="AX136" s="14"/>
      <c r="AY136" s="91" t="s">
        <v>1319</v>
      </c>
      <c r="AZ136" s="91">
        <v>0</v>
      </c>
      <c r="BA136" s="14"/>
      <c r="BB136" s="14"/>
      <c r="BC136" s="91" t="s">
        <v>1319</v>
      </c>
      <c r="BD136" s="91">
        <v>0</v>
      </c>
      <c r="BE136" s="14"/>
      <c r="BF136" s="14"/>
      <c r="BG136" s="86" t="s">
        <v>1328</v>
      </c>
      <c r="BH136" s="96">
        <v>6.92</v>
      </c>
      <c r="BI136" s="14"/>
      <c r="BJ136" s="14"/>
      <c r="BK136" s="97" t="s">
        <v>1329</v>
      </c>
      <c r="BL136" s="96">
        <v>3.58</v>
      </c>
      <c r="BM136" s="14"/>
      <c r="BN136" s="14"/>
      <c r="BO136" s="91" t="s">
        <v>1315</v>
      </c>
      <c r="BP136" s="91">
        <v>0</v>
      </c>
      <c r="BQ136" s="14"/>
      <c r="BR136" s="14"/>
      <c r="BS136" s="91" t="s">
        <v>1315</v>
      </c>
      <c r="BT136" s="91">
        <v>0</v>
      </c>
      <c r="BU136" s="14"/>
      <c r="BV136" s="14"/>
      <c r="BW136" s="91" t="s">
        <v>1315</v>
      </c>
      <c r="BX136" s="91">
        <v>0</v>
      </c>
      <c r="BY136" s="14"/>
      <c r="BZ136" s="14"/>
      <c r="CA136" s="91" t="s">
        <v>1315</v>
      </c>
      <c r="CB136" s="91">
        <v>0</v>
      </c>
      <c r="CC136" s="14"/>
      <c r="CD136" s="14"/>
      <c r="CE136" s="91" t="s">
        <v>1315</v>
      </c>
      <c r="CF136" s="91">
        <v>0</v>
      </c>
      <c r="CG136" s="14"/>
      <c r="CH136" s="14"/>
      <c r="CI136" s="91" t="s">
        <v>1315</v>
      </c>
      <c r="CJ136" s="91">
        <v>0</v>
      </c>
      <c r="CK136" s="14"/>
      <c r="CL136" s="14"/>
    </row>
    <row r="137" ht="84" customHeight="1" spans="1:90">
      <c r="A137" s="14"/>
      <c r="B137" s="14"/>
      <c r="C137" s="14"/>
      <c r="D137" s="14"/>
      <c r="E137" s="14"/>
      <c r="F137" s="14"/>
      <c r="G137" s="14"/>
      <c r="H137" s="14"/>
      <c r="I137" s="79" t="s">
        <v>613</v>
      </c>
      <c r="J137" s="75" t="s">
        <v>619</v>
      </c>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14"/>
      <c r="BZ137" s="14"/>
      <c r="CA137" s="14"/>
      <c r="CB137" s="14"/>
      <c r="CC137" s="14"/>
      <c r="CD137" s="14"/>
      <c r="CE137" s="14"/>
      <c r="CF137" s="14"/>
      <c r="CG137" s="14"/>
      <c r="CH137" s="14"/>
      <c r="CI137" s="14"/>
      <c r="CJ137" s="14"/>
      <c r="CK137" s="14"/>
      <c r="CL137" s="14"/>
    </row>
    <row r="138" spans="1:90">
      <c r="A138" s="15"/>
      <c r="B138" s="15"/>
      <c r="C138" s="15"/>
      <c r="D138" s="15"/>
      <c r="E138" s="15"/>
      <c r="F138" s="15"/>
      <c r="G138" s="15"/>
      <c r="H138" s="15"/>
      <c r="I138" s="108" t="s">
        <v>615</v>
      </c>
      <c r="J138" s="108">
        <v>10</v>
      </c>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row>
    <row r="139" s="61" customFormat="1" spans="1:90">
      <c r="A139" s="107" t="s">
        <v>1330</v>
      </c>
      <c r="B139" s="20"/>
      <c r="C139" s="20"/>
      <c r="D139" s="20"/>
      <c r="E139" s="20"/>
      <c r="F139" s="20"/>
      <c r="G139" s="20"/>
      <c r="H139" s="20"/>
      <c r="I139" s="20"/>
      <c r="J139" s="22"/>
      <c r="K139" s="87">
        <f>SUM(M3:M133)</f>
        <v>74.297</v>
      </c>
      <c r="L139" s="20"/>
      <c r="M139" s="22"/>
      <c r="N139" s="87">
        <f>SUM(N3:N138)</f>
        <v>75.369</v>
      </c>
      <c r="O139" s="87">
        <f>SUM(Q3:Q133)</f>
        <v>44.284</v>
      </c>
      <c r="P139" s="20"/>
      <c r="Q139" s="22"/>
      <c r="R139" s="110">
        <f>SUM(R3:R138)</f>
        <v>44.259</v>
      </c>
      <c r="S139" s="87">
        <f>SUM(U3:U133)</f>
        <v>60.873</v>
      </c>
      <c r="T139" s="20"/>
      <c r="U139" s="22"/>
      <c r="V139" s="110">
        <f>SUM(V3:V138)</f>
        <v>61.423</v>
      </c>
      <c r="W139" s="87">
        <f>SUM(Y3:Y133)</f>
        <v>41.817</v>
      </c>
      <c r="X139" s="20"/>
      <c r="Y139" s="22"/>
      <c r="Z139" s="110">
        <f>SUM(Z3:Z138)</f>
        <v>41.355</v>
      </c>
      <c r="AA139" s="87">
        <f>SUM(AC3:AC133)</f>
        <v>58.627</v>
      </c>
      <c r="AB139" s="20"/>
      <c r="AC139" s="22"/>
      <c r="AD139" s="110">
        <f>SUM(AD3:AD138)</f>
        <v>57.541</v>
      </c>
      <c r="AE139" s="87">
        <f>SUM(AG3:AG133)</f>
        <v>49.848</v>
      </c>
      <c r="AF139" s="20"/>
      <c r="AG139" s="22"/>
      <c r="AH139" s="110">
        <f>SUM(AH3:AH138)</f>
        <v>48.605</v>
      </c>
      <c r="AI139" s="87">
        <f>SUM(AK3:AK133)</f>
        <v>70.921</v>
      </c>
      <c r="AJ139" s="20"/>
      <c r="AK139" s="22"/>
      <c r="AL139" s="110">
        <f>SUM(AL3:AL138)</f>
        <v>71.499</v>
      </c>
      <c r="AM139" s="87">
        <f>SUM(AO3:AO133)</f>
        <v>53.639</v>
      </c>
      <c r="AN139" s="20"/>
      <c r="AO139" s="22"/>
      <c r="AP139" s="110">
        <f>SUM(AP3:AP138)</f>
        <v>53.72</v>
      </c>
      <c r="AQ139" s="87">
        <f>SUM(AS3:AS133)</f>
        <v>65.128</v>
      </c>
      <c r="AR139" s="20"/>
      <c r="AS139" s="22"/>
      <c r="AT139" s="110">
        <f>SUM(AT3:AT138)</f>
        <v>65.348</v>
      </c>
      <c r="AU139" s="87">
        <f>SUM(AW3:AW133)</f>
        <v>63.877</v>
      </c>
      <c r="AV139" s="20"/>
      <c r="AW139" s="22"/>
      <c r="AX139" s="110">
        <f>SUM(AX3:AX138)</f>
        <v>65.077</v>
      </c>
      <c r="AY139" s="87">
        <f>SUM(BA3:BA133)</f>
        <v>43.586</v>
      </c>
      <c r="AZ139" s="20"/>
      <c r="BA139" s="22"/>
      <c r="BB139" s="110">
        <f>SUM(BB3:BB138)</f>
        <v>41.383</v>
      </c>
      <c r="BC139" s="87">
        <f>SUM(BE3:BE133)</f>
        <v>55.256</v>
      </c>
      <c r="BD139" s="20"/>
      <c r="BE139" s="22"/>
      <c r="BF139" s="110">
        <f>SUM(BF3:BF138)</f>
        <v>55.444</v>
      </c>
      <c r="BG139" s="87">
        <f>SUM(BI3:BI133)</f>
        <v>72.068</v>
      </c>
      <c r="BH139" s="20"/>
      <c r="BI139" s="22"/>
      <c r="BJ139" s="110">
        <f>SUM(BJ3:BJ138)</f>
        <v>73.668</v>
      </c>
      <c r="BK139" s="87">
        <f>SUM(BM3:BM133)</f>
        <v>70.166</v>
      </c>
      <c r="BL139" s="20"/>
      <c r="BM139" s="22"/>
      <c r="BN139" s="110">
        <f>SUM(BN3:BN138)</f>
        <v>69.699</v>
      </c>
      <c r="BO139" s="87">
        <f>SUM(BQ3:BQ133)</f>
        <v>53.389</v>
      </c>
      <c r="BP139" s="20"/>
      <c r="BQ139" s="22"/>
      <c r="BR139" s="110">
        <f>SUM(BR3:BR138)</f>
        <v>53.272</v>
      </c>
      <c r="BS139" s="87">
        <f>SUM(BU3:BU133)</f>
        <v>33.968</v>
      </c>
      <c r="BT139" s="20"/>
      <c r="BU139" s="22"/>
      <c r="BV139" s="110">
        <f>SUM(BV3:BV138)</f>
        <v>31.064</v>
      </c>
      <c r="BW139" s="87">
        <f>SUM(BY3:BY133)</f>
        <v>55.184</v>
      </c>
      <c r="BX139" s="20"/>
      <c r="BY139" s="22"/>
      <c r="BZ139" s="110">
        <f>SUM(BZ3:BZ138)</f>
        <v>54.51</v>
      </c>
      <c r="CA139" s="87">
        <f>SUM(CC3:CC133)</f>
        <v>32.975</v>
      </c>
      <c r="CB139" s="20"/>
      <c r="CC139" s="22"/>
      <c r="CD139" s="110">
        <f>SUM(CD3:CD138)</f>
        <v>31.375</v>
      </c>
      <c r="CE139" s="87">
        <f>SUM(CG3:CG133)</f>
        <v>50.462</v>
      </c>
      <c r="CF139" s="20"/>
      <c r="CG139" s="22"/>
      <c r="CH139" s="110">
        <f>SUM(CH3:CH138)</f>
        <v>49.301</v>
      </c>
      <c r="CI139" s="87">
        <f>SUM(CK3:CK133)</f>
        <v>55.879</v>
      </c>
      <c r="CJ139" s="20"/>
      <c r="CK139" s="22"/>
      <c r="CL139" s="110">
        <f>SUM(CL3:CL138)</f>
        <v>56.483</v>
      </c>
    </row>
  </sheetData>
  <mergeCells count="2892">
    <mergeCell ref="A1:J1"/>
    <mergeCell ref="K1:M1"/>
    <mergeCell ref="O1:Q1"/>
    <mergeCell ref="S1:U1"/>
    <mergeCell ref="W1:Y1"/>
    <mergeCell ref="AA1:AC1"/>
    <mergeCell ref="AE1:AG1"/>
    <mergeCell ref="AI1:AK1"/>
    <mergeCell ref="AM1:AO1"/>
    <mergeCell ref="AQ1:AS1"/>
    <mergeCell ref="AU1:AW1"/>
    <mergeCell ref="AY1:BA1"/>
    <mergeCell ref="BC1:BE1"/>
    <mergeCell ref="BG1:BI1"/>
    <mergeCell ref="BK1:BM1"/>
    <mergeCell ref="BO1:BQ1"/>
    <mergeCell ref="BS1:BU1"/>
    <mergeCell ref="BW1:BY1"/>
    <mergeCell ref="CA1:CC1"/>
    <mergeCell ref="CE1:CG1"/>
    <mergeCell ref="CI1:CK1"/>
    <mergeCell ref="A139:J139"/>
    <mergeCell ref="K139:M139"/>
    <mergeCell ref="O139:Q139"/>
    <mergeCell ref="S139:U139"/>
    <mergeCell ref="W139:Y139"/>
    <mergeCell ref="AA139:AC139"/>
    <mergeCell ref="AE139:AG139"/>
    <mergeCell ref="AI139:AK139"/>
    <mergeCell ref="AM139:AO139"/>
    <mergeCell ref="AQ139:AS139"/>
    <mergeCell ref="AU139:AW139"/>
    <mergeCell ref="AY139:BA139"/>
    <mergeCell ref="BC139:BE139"/>
    <mergeCell ref="BG139:BI139"/>
    <mergeCell ref="BK139:BM139"/>
    <mergeCell ref="BO139:BQ139"/>
    <mergeCell ref="BS139:BU139"/>
    <mergeCell ref="BW139:BY139"/>
    <mergeCell ref="CA139:CC139"/>
    <mergeCell ref="CE139:CG139"/>
    <mergeCell ref="CI139:CK139"/>
    <mergeCell ref="A3:A26"/>
    <mergeCell ref="A27:A50"/>
    <mergeCell ref="A51:A138"/>
    <mergeCell ref="B3:B18"/>
    <mergeCell ref="B19:B26"/>
    <mergeCell ref="B27:B32"/>
    <mergeCell ref="B33:B50"/>
    <mergeCell ref="B51:B67"/>
    <mergeCell ref="B68:B79"/>
    <mergeCell ref="B80:B85"/>
    <mergeCell ref="B86:B89"/>
    <mergeCell ref="B90:B97"/>
    <mergeCell ref="B98:B115"/>
    <mergeCell ref="B116:B138"/>
    <mergeCell ref="C3:C7"/>
    <mergeCell ref="C8:C12"/>
    <mergeCell ref="C13:C18"/>
    <mergeCell ref="C19:C24"/>
    <mergeCell ref="C25:C26"/>
    <mergeCell ref="C27:C32"/>
    <mergeCell ref="C33:C38"/>
    <mergeCell ref="C39:C44"/>
    <mergeCell ref="C45:C50"/>
    <mergeCell ref="C51:C55"/>
    <mergeCell ref="C56:C61"/>
    <mergeCell ref="C62:C67"/>
    <mergeCell ref="C68:C79"/>
    <mergeCell ref="C80:C85"/>
    <mergeCell ref="C86:C89"/>
    <mergeCell ref="C90:C92"/>
    <mergeCell ref="C93:C97"/>
    <mergeCell ref="C98:C103"/>
    <mergeCell ref="C104:C109"/>
    <mergeCell ref="C110:C115"/>
    <mergeCell ref="C116:C120"/>
    <mergeCell ref="C121:C122"/>
    <mergeCell ref="C123:C125"/>
    <mergeCell ref="C126:C128"/>
    <mergeCell ref="C129:C132"/>
    <mergeCell ref="C133:C138"/>
    <mergeCell ref="D3:D7"/>
    <mergeCell ref="D8:D12"/>
    <mergeCell ref="D13:D18"/>
    <mergeCell ref="D19:D24"/>
    <mergeCell ref="D25:D26"/>
    <mergeCell ref="D27:D32"/>
    <mergeCell ref="D33:D38"/>
    <mergeCell ref="D39:D44"/>
    <mergeCell ref="D45:D50"/>
    <mergeCell ref="D51:D55"/>
    <mergeCell ref="D56:D61"/>
    <mergeCell ref="D62:D67"/>
    <mergeCell ref="D68:D73"/>
    <mergeCell ref="D74:D79"/>
    <mergeCell ref="D80:D85"/>
    <mergeCell ref="D86:D89"/>
    <mergeCell ref="D90:D92"/>
    <mergeCell ref="D93:D97"/>
    <mergeCell ref="D98:D103"/>
    <mergeCell ref="D104:D109"/>
    <mergeCell ref="D110:D115"/>
    <mergeCell ref="D116:D120"/>
    <mergeCell ref="D121:D122"/>
    <mergeCell ref="D123:D125"/>
    <mergeCell ref="D126:D128"/>
    <mergeCell ref="D129:D132"/>
    <mergeCell ref="D133:D138"/>
    <mergeCell ref="E3:E7"/>
    <mergeCell ref="E8:E12"/>
    <mergeCell ref="E13:E18"/>
    <mergeCell ref="E19:E24"/>
    <mergeCell ref="E25:E26"/>
    <mergeCell ref="E27:E32"/>
    <mergeCell ref="E33:E38"/>
    <mergeCell ref="E39:E44"/>
    <mergeCell ref="E45:E50"/>
    <mergeCell ref="E51:E55"/>
    <mergeCell ref="E56:E61"/>
    <mergeCell ref="E62:E67"/>
    <mergeCell ref="E68:E73"/>
    <mergeCell ref="E74:E79"/>
    <mergeCell ref="E80:E85"/>
    <mergeCell ref="E86:E89"/>
    <mergeCell ref="E90:E92"/>
    <mergeCell ref="E93:E97"/>
    <mergeCell ref="E98:E103"/>
    <mergeCell ref="E104:E109"/>
    <mergeCell ref="E110:E115"/>
    <mergeCell ref="E116:E120"/>
    <mergeCell ref="E121:E122"/>
    <mergeCell ref="E123:E125"/>
    <mergeCell ref="E126:E128"/>
    <mergeCell ref="E129:E132"/>
    <mergeCell ref="E133:E138"/>
    <mergeCell ref="F3:F7"/>
    <mergeCell ref="F8:F12"/>
    <mergeCell ref="F13:F18"/>
    <mergeCell ref="F19:F24"/>
    <mergeCell ref="F25:F26"/>
    <mergeCell ref="F27:F32"/>
    <mergeCell ref="F33:F38"/>
    <mergeCell ref="F39:F44"/>
    <mergeCell ref="F45:F50"/>
    <mergeCell ref="F51:F55"/>
    <mergeCell ref="F56:F58"/>
    <mergeCell ref="F59:F61"/>
    <mergeCell ref="F62:F64"/>
    <mergeCell ref="F65:F67"/>
    <mergeCell ref="F68:F70"/>
    <mergeCell ref="F71:F73"/>
    <mergeCell ref="F74:F76"/>
    <mergeCell ref="F77:F79"/>
    <mergeCell ref="F80:F82"/>
    <mergeCell ref="F83:F85"/>
    <mergeCell ref="F86:F87"/>
    <mergeCell ref="F88:F89"/>
    <mergeCell ref="F90:F92"/>
    <mergeCell ref="F93:F97"/>
    <mergeCell ref="F98:F100"/>
    <mergeCell ref="F101:F103"/>
    <mergeCell ref="F104:F106"/>
    <mergeCell ref="F107:F109"/>
    <mergeCell ref="F110:F112"/>
    <mergeCell ref="F113:F115"/>
    <mergeCell ref="F116:F118"/>
    <mergeCell ref="F119:F120"/>
    <mergeCell ref="F121:F122"/>
    <mergeCell ref="F123:F125"/>
    <mergeCell ref="F126:F128"/>
    <mergeCell ref="F129:F130"/>
    <mergeCell ref="F131:F132"/>
    <mergeCell ref="F133:F135"/>
    <mergeCell ref="F136:F138"/>
    <mergeCell ref="G3:G7"/>
    <mergeCell ref="G8:G12"/>
    <mergeCell ref="G13:G18"/>
    <mergeCell ref="G19:G24"/>
    <mergeCell ref="G25:G26"/>
    <mergeCell ref="G27:G32"/>
    <mergeCell ref="G33:G38"/>
    <mergeCell ref="G39:G44"/>
    <mergeCell ref="G45:G50"/>
    <mergeCell ref="G51:G55"/>
    <mergeCell ref="G56:G58"/>
    <mergeCell ref="G59:G61"/>
    <mergeCell ref="G62:G64"/>
    <mergeCell ref="G65:G67"/>
    <mergeCell ref="G68:G70"/>
    <mergeCell ref="G71:G73"/>
    <mergeCell ref="G74:G76"/>
    <mergeCell ref="G77:G79"/>
    <mergeCell ref="G80:G82"/>
    <mergeCell ref="G83:G85"/>
    <mergeCell ref="G86:G87"/>
    <mergeCell ref="G88:G89"/>
    <mergeCell ref="G90:G92"/>
    <mergeCell ref="G93:G97"/>
    <mergeCell ref="G98:G103"/>
    <mergeCell ref="G104:G109"/>
    <mergeCell ref="G110:G115"/>
    <mergeCell ref="G116:G118"/>
    <mergeCell ref="G119:G120"/>
    <mergeCell ref="G121:G122"/>
    <mergeCell ref="G123:G125"/>
    <mergeCell ref="G126:G128"/>
    <mergeCell ref="G129:G130"/>
    <mergeCell ref="G131:G132"/>
    <mergeCell ref="G133:G135"/>
    <mergeCell ref="G136:G138"/>
    <mergeCell ref="H3:H7"/>
    <mergeCell ref="H8:H12"/>
    <mergeCell ref="H13:H18"/>
    <mergeCell ref="H19:H24"/>
    <mergeCell ref="H25:H26"/>
    <mergeCell ref="H27:H32"/>
    <mergeCell ref="H33:H38"/>
    <mergeCell ref="H39:H44"/>
    <mergeCell ref="H45:H50"/>
    <mergeCell ref="H51:H55"/>
    <mergeCell ref="H56:H58"/>
    <mergeCell ref="H59:H61"/>
    <mergeCell ref="H62:H64"/>
    <mergeCell ref="H65:H67"/>
    <mergeCell ref="H68:H70"/>
    <mergeCell ref="H71:H73"/>
    <mergeCell ref="H74:H76"/>
    <mergeCell ref="H77:H79"/>
    <mergeCell ref="H80:H82"/>
    <mergeCell ref="H83:H85"/>
    <mergeCell ref="H86:H87"/>
    <mergeCell ref="H88:H89"/>
    <mergeCell ref="H90:H92"/>
    <mergeCell ref="H93:H97"/>
    <mergeCell ref="H98:H100"/>
    <mergeCell ref="H101:H103"/>
    <mergeCell ref="H104:H106"/>
    <mergeCell ref="H107:H109"/>
    <mergeCell ref="H110:H112"/>
    <mergeCell ref="H113:H115"/>
    <mergeCell ref="H116:H118"/>
    <mergeCell ref="H119:H120"/>
    <mergeCell ref="H121:H122"/>
    <mergeCell ref="H123:H125"/>
    <mergeCell ref="H126:H128"/>
    <mergeCell ref="H129:H130"/>
    <mergeCell ref="H131:H132"/>
    <mergeCell ref="H133:H135"/>
    <mergeCell ref="H136:H138"/>
    <mergeCell ref="I94:I96"/>
    <mergeCell ref="J94:J96"/>
    <mergeCell ref="K3:K7"/>
    <mergeCell ref="K8:K12"/>
    <mergeCell ref="K13:K18"/>
    <mergeCell ref="K19:K24"/>
    <mergeCell ref="K25:K26"/>
    <mergeCell ref="K27:K32"/>
    <mergeCell ref="K33:K38"/>
    <mergeCell ref="K39:K44"/>
    <mergeCell ref="K45:K50"/>
    <mergeCell ref="K51:K55"/>
    <mergeCell ref="K56:K58"/>
    <mergeCell ref="K59:K61"/>
    <mergeCell ref="K62:K64"/>
    <mergeCell ref="K65:K67"/>
    <mergeCell ref="K68:K70"/>
    <mergeCell ref="K71:K73"/>
    <mergeCell ref="K74:K76"/>
    <mergeCell ref="K77:K79"/>
    <mergeCell ref="K80:K82"/>
    <mergeCell ref="K83:K85"/>
    <mergeCell ref="K86:K87"/>
    <mergeCell ref="K88:K89"/>
    <mergeCell ref="K90:K92"/>
    <mergeCell ref="K93:K97"/>
    <mergeCell ref="K98:K100"/>
    <mergeCell ref="K101:K103"/>
    <mergeCell ref="K104:K106"/>
    <mergeCell ref="K107:K109"/>
    <mergeCell ref="K110:K112"/>
    <mergeCell ref="K113:K115"/>
    <mergeCell ref="K116:K118"/>
    <mergeCell ref="K119:K120"/>
    <mergeCell ref="K121:K122"/>
    <mergeCell ref="K123:K125"/>
    <mergeCell ref="K126:K128"/>
    <mergeCell ref="K129:K130"/>
    <mergeCell ref="K131:K132"/>
    <mergeCell ref="K133:K135"/>
    <mergeCell ref="K136:K138"/>
    <mergeCell ref="L3:L7"/>
    <mergeCell ref="L8:L12"/>
    <mergeCell ref="L13:L18"/>
    <mergeCell ref="L19:L24"/>
    <mergeCell ref="L25:L26"/>
    <mergeCell ref="L27:L32"/>
    <mergeCell ref="L33:L38"/>
    <mergeCell ref="L39:L44"/>
    <mergeCell ref="L45:L50"/>
    <mergeCell ref="L51:L55"/>
    <mergeCell ref="L56:L58"/>
    <mergeCell ref="L59:L61"/>
    <mergeCell ref="L62:L64"/>
    <mergeCell ref="L65:L67"/>
    <mergeCell ref="L68:L70"/>
    <mergeCell ref="L71:L73"/>
    <mergeCell ref="L74:L76"/>
    <mergeCell ref="L77:L79"/>
    <mergeCell ref="L80:L82"/>
    <mergeCell ref="L83:L85"/>
    <mergeCell ref="L86:L87"/>
    <mergeCell ref="L88:L89"/>
    <mergeCell ref="L90:L92"/>
    <mergeCell ref="L93:L97"/>
    <mergeCell ref="L98:L100"/>
    <mergeCell ref="L101:L103"/>
    <mergeCell ref="L104:L106"/>
    <mergeCell ref="L107:L109"/>
    <mergeCell ref="L110:L112"/>
    <mergeCell ref="L113:L115"/>
    <mergeCell ref="L116:L118"/>
    <mergeCell ref="L119:L120"/>
    <mergeCell ref="L121:L122"/>
    <mergeCell ref="L123:L125"/>
    <mergeCell ref="L126:L128"/>
    <mergeCell ref="L129:L130"/>
    <mergeCell ref="L131:L132"/>
    <mergeCell ref="L133:L135"/>
    <mergeCell ref="L136:L138"/>
    <mergeCell ref="M3:M7"/>
    <mergeCell ref="M8:M12"/>
    <mergeCell ref="M13:M18"/>
    <mergeCell ref="M19:M24"/>
    <mergeCell ref="M25:M26"/>
    <mergeCell ref="M27:M32"/>
    <mergeCell ref="M33:M38"/>
    <mergeCell ref="M39:M44"/>
    <mergeCell ref="M45:M50"/>
    <mergeCell ref="M51:M55"/>
    <mergeCell ref="M56:M61"/>
    <mergeCell ref="M62:M67"/>
    <mergeCell ref="M68:M73"/>
    <mergeCell ref="M74:M79"/>
    <mergeCell ref="M80:M85"/>
    <mergeCell ref="M86:M89"/>
    <mergeCell ref="M90:M92"/>
    <mergeCell ref="M93:M97"/>
    <mergeCell ref="M98:M103"/>
    <mergeCell ref="M104:M109"/>
    <mergeCell ref="M110:M115"/>
    <mergeCell ref="M116:M120"/>
    <mergeCell ref="M121:M122"/>
    <mergeCell ref="M123:M125"/>
    <mergeCell ref="M126:M128"/>
    <mergeCell ref="M129:M132"/>
    <mergeCell ref="M133:M138"/>
    <mergeCell ref="N3:N7"/>
    <mergeCell ref="N8:N12"/>
    <mergeCell ref="N13:N18"/>
    <mergeCell ref="N19:N24"/>
    <mergeCell ref="N25:N26"/>
    <mergeCell ref="N27:N32"/>
    <mergeCell ref="N33:N38"/>
    <mergeCell ref="N39:N44"/>
    <mergeCell ref="N45:N50"/>
    <mergeCell ref="N51:N55"/>
    <mergeCell ref="N56:N61"/>
    <mergeCell ref="N62:N67"/>
    <mergeCell ref="N68:N73"/>
    <mergeCell ref="N74:N79"/>
    <mergeCell ref="N80:N85"/>
    <mergeCell ref="N86:N89"/>
    <mergeCell ref="N90:N92"/>
    <mergeCell ref="N93:N97"/>
    <mergeCell ref="N98:N103"/>
    <mergeCell ref="N104:N109"/>
    <mergeCell ref="N110:N115"/>
    <mergeCell ref="N116:N120"/>
    <mergeCell ref="N121:N122"/>
    <mergeCell ref="N123:N125"/>
    <mergeCell ref="N126:N128"/>
    <mergeCell ref="N129:N132"/>
    <mergeCell ref="N133:N138"/>
    <mergeCell ref="O3:O7"/>
    <mergeCell ref="O8:O12"/>
    <mergeCell ref="O13:O18"/>
    <mergeCell ref="O19:O24"/>
    <mergeCell ref="O25:O26"/>
    <mergeCell ref="O27:O32"/>
    <mergeCell ref="O33:O38"/>
    <mergeCell ref="O39:O44"/>
    <mergeCell ref="O45:O50"/>
    <mergeCell ref="O51:O55"/>
    <mergeCell ref="O56:O58"/>
    <mergeCell ref="O59:O61"/>
    <mergeCell ref="O62:O64"/>
    <mergeCell ref="O65:O67"/>
    <mergeCell ref="O68:O70"/>
    <mergeCell ref="O71:O73"/>
    <mergeCell ref="O74:O76"/>
    <mergeCell ref="O77:O79"/>
    <mergeCell ref="O80:O82"/>
    <mergeCell ref="O83:O85"/>
    <mergeCell ref="O86:O87"/>
    <mergeCell ref="O88:O89"/>
    <mergeCell ref="O90:O92"/>
    <mergeCell ref="O93:O97"/>
    <mergeCell ref="O98:O100"/>
    <mergeCell ref="O101:O103"/>
    <mergeCell ref="O104:O106"/>
    <mergeCell ref="O107:O109"/>
    <mergeCell ref="O110:O112"/>
    <mergeCell ref="O113:O115"/>
    <mergeCell ref="O116:O118"/>
    <mergeCell ref="O119:O120"/>
    <mergeCell ref="O121:O122"/>
    <mergeCell ref="O123:O125"/>
    <mergeCell ref="O126:O128"/>
    <mergeCell ref="O129:O130"/>
    <mergeCell ref="O131:O132"/>
    <mergeCell ref="O133:O135"/>
    <mergeCell ref="O136:O138"/>
    <mergeCell ref="P3:P7"/>
    <mergeCell ref="P8:P12"/>
    <mergeCell ref="P13:P18"/>
    <mergeCell ref="P19:P24"/>
    <mergeCell ref="P25:P26"/>
    <mergeCell ref="P27:P32"/>
    <mergeCell ref="P33:P38"/>
    <mergeCell ref="P39:P44"/>
    <mergeCell ref="P45:P50"/>
    <mergeCell ref="P51:P55"/>
    <mergeCell ref="P56:P58"/>
    <mergeCell ref="P59:P61"/>
    <mergeCell ref="P62:P64"/>
    <mergeCell ref="P65:P67"/>
    <mergeCell ref="P68:P70"/>
    <mergeCell ref="P71:P73"/>
    <mergeCell ref="P74:P76"/>
    <mergeCell ref="P77:P79"/>
    <mergeCell ref="P80:P82"/>
    <mergeCell ref="P83:P85"/>
    <mergeCell ref="P86:P87"/>
    <mergeCell ref="P88:P89"/>
    <mergeCell ref="P90:P92"/>
    <mergeCell ref="P93:P97"/>
    <mergeCell ref="P98:P100"/>
    <mergeCell ref="P101:P103"/>
    <mergeCell ref="P104:P106"/>
    <mergeCell ref="P107:P109"/>
    <mergeCell ref="P110:P112"/>
    <mergeCell ref="P113:P115"/>
    <mergeCell ref="P116:P118"/>
    <mergeCell ref="P119:P120"/>
    <mergeCell ref="P121:P122"/>
    <mergeCell ref="P123:P125"/>
    <mergeCell ref="P126:P128"/>
    <mergeCell ref="P129:P130"/>
    <mergeCell ref="P131:P132"/>
    <mergeCell ref="P133:P135"/>
    <mergeCell ref="P136:P138"/>
    <mergeCell ref="Q3:Q7"/>
    <mergeCell ref="Q8:Q12"/>
    <mergeCell ref="Q13:Q18"/>
    <mergeCell ref="Q19:Q24"/>
    <mergeCell ref="Q25:Q26"/>
    <mergeCell ref="Q27:Q32"/>
    <mergeCell ref="Q33:Q38"/>
    <mergeCell ref="Q39:Q44"/>
    <mergeCell ref="Q45:Q50"/>
    <mergeCell ref="Q51:Q55"/>
    <mergeCell ref="Q56:Q61"/>
    <mergeCell ref="Q62:Q67"/>
    <mergeCell ref="Q68:Q73"/>
    <mergeCell ref="Q74:Q79"/>
    <mergeCell ref="Q80:Q85"/>
    <mergeCell ref="Q86:Q89"/>
    <mergeCell ref="Q90:Q92"/>
    <mergeCell ref="Q93:Q97"/>
    <mergeCell ref="Q98:Q103"/>
    <mergeCell ref="Q104:Q109"/>
    <mergeCell ref="Q110:Q115"/>
    <mergeCell ref="Q116:Q120"/>
    <mergeCell ref="Q121:Q122"/>
    <mergeCell ref="Q123:Q125"/>
    <mergeCell ref="Q126:Q128"/>
    <mergeCell ref="Q129:Q132"/>
    <mergeCell ref="Q133:Q138"/>
    <mergeCell ref="R3:R7"/>
    <mergeCell ref="R8:R12"/>
    <mergeCell ref="R13:R18"/>
    <mergeCell ref="R19:R24"/>
    <mergeCell ref="R25:R26"/>
    <mergeCell ref="R27:R32"/>
    <mergeCell ref="R33:R38"/>
    <mergeCell ref="R39:R44"/>
    <mergeCell ref="R45:R50"/>
    <mergeCell ref="R51:R55"/>
    <mergeCell ref="R56:R61"/>
    <mergeCell ref="R62:R67"/>
    <mergeCell ref="R68:R73"/>
    <mergeCell ref="R74:R79"/>
    <mergeCell ref="R80:R85"/>
    <mergeCell ref="R86:R89"/>
    <mergeCell ref="R90:R92"/>
    <mergeCell ref="R93:R97"/>
    <mergeCell ref="R98:R103"/>
    <mergeCell ref="R104:R109"/>
    <mergeCell ref="R110:R115"/>
    <mergeCell ref="R116:R120"/>
    <mergeCell ref="R121:R122"/>
    <mergeCell ref="R123:R125"/>
    <mergeCell ref="R126:R128"/>
    <mergeCell ref="R129:R132"/>
    <mergeCell ref="R133:R138"/>
    <mergeCell ref="S3:S7"/>
    <mergeCell ref="S8:S12"/>
    <mergeCell ref="S13:S18"/>
    <mergeCell ref="S19:S24"/>
    <mergeCell ref="S25:S26"/>
    <mergeCell ref="S27:S32"/>
    <mergeCell ref="S33:S38"/>
    <mergeCell ref="S39:S44"/>
    <mergeCell ref="S45:S50"/>
    <mergeCell ref="S51:S55"/>
    <mergeCell ref="S56:S58"/>
    <mergeCell ref="S59:S61"/>
    <mergeCell ref="S62:S64"/>
    <mergeCell ref="S65:S67"/>
    <mergeCell ref="S68:S70"/>
    <mergeCell ref="S71:S73"/>
    <mergeCell ref="S74:S76"/>
    <mergeCell ref="S77:S79"/>
    <mergeCell ref="S80:S82"/>
    <mergeCell ref="S83:S85"/>
    <mergeCell ref="S86:S87"/>
    <mergeCell ref="S88:S89"/>
    <mergeCell ref="S90:S92"/>
    <mergeCell ref="S93:S97"/>
    <mergeCell ref="S98:S100"/>
    <mergeCell ref="S101:S103"/>
    <mergeCell ref="S104:S106"/>
    <mergeCell ref="S107:S109"/>
    <mergeCell ref="S110:S112"/>
    <mergeCell ref="S113:S115"/>
    <mergeCell ref="S116:S118"/>
    <mergeCell ref="S119:S120"/>
    <mergeCell ref="S121:S122"/>
    <mergeCell ref="S123:S125"/>
    <mergeCell ref="S126:S128"/>
    <mergeCell ref="S129:S130"/>
    <mergeCell ref="S131:S132"/>
    <mergeCell ref="S133:S135"/>
    <mergeCell ref="S136:S138"/>
    <mergeCell ref="T3:T7"/>
    <mergeCell ref="T8:T12"/>
    <mergeCell ref="T13:T18"/>
    <mergeCell ref="T19:T24"/>
    <mergeCell ref="T25:T26"/>
    <mergeCell ref="T27:T32"/>
    <mergeCell ref="T33:T38"/>
    <mergeCell ref="T39:T44"/>
    <mergeCell ref="T45:T50"/>
    <mergeCell ref="T51:T55"/>
    <mergeCell ref="T56:T58"/>
    <mergeCell ref="T59:T61"/>
    <mergeCell ref="T62:T64"/>
    <mergeCell ref="T65:T67"/>
    <mergeCell ref="T68:T70"/>
    <mergeCell ref="T71:T73"/>
    <mergeCell ref="T74:T76"/>
    <mergeCell ref="T77:T79"/>
    <mergeCell ref="T80:T82"/>
    <mergeCell ref="T83:T85"/>
    <mergeCell ref="T86:T87"/>
    <mergeCell ref="T88:T89"/>
    <mergeCell ref="T90:T92"/>
    <mergeCell ref="T93:T97"/>
    <mergeCell ref="T98:T100"/>
    <mergeCell ref="T101:T103"/>
    <mergeCell ref="T104:T106"/>
    <mergeCell ref="T107:T109"/>
    <mergeCell ref="T110:T112"/>
    <mergeCell ref="T113:T115"/>
    <mergeCell ref="T116:T118"/>
    <mergeCell ref="T119:T120"/>
    <mergeCell ref="T121:T122"/>
    <mergeCell ref="T123:T125"/>
    <mergeCell ref="T126:T128"/>
    <mergeCell ref="T129:T130"/>
    <mergeCell ref="T131:T132"/>
    <mergeCell ref="T133:T135"/>
    <mergeCell ref="T136:T138"/>
    <mergeCell ref="U3:U7"/>
    <mergeCell ref="U8:U12"/>
    <mergeCell ref="U13:U18"/>
    <mergeCell ref="U19:U24"/>
    <mergeCell ref="U25:U26"/>
    <mergeCell ref="U27:U32"/>
    <mergeCell ref="U33:U38"/>
    <mergeCell ref="U39:U44"/>
    <mergeCell ref="U45:U50"/>
    <mergeCell ref="U51:U55"/>
    <mergeCell ref="U56:U61"/>
    <mergeCell ref="U62:U67"/>
    <mergeCell ref="U68:U73"/>
    <mergeCell ref="U74:U79"/>
    <mergeCell ref="U80:U85"/>
    <mergeCell ref="U86:U89"/>
    <mergeCell ref="U90:U92"/>
    <mergeCell ref="U93:U97"/>
    <mergeCell ref="U98:U103"/>
    <mergeCell ref="U104:U109"/>
    <mergeCell ref="U110:U115"/>
    <mergeCell ref="U116:U120"/>
    <mergeCell ref="U121:U122"/>
    <mergeCell ref="U123:U125"/>
    <mergeCell ref="U126:U128"/>
    <mergeCell ref="U129:U132"/>
    <mergeCell ref="U133:U138"/>
    <mergeCell ref="V3:V7"/>
    <mergeCell ref="V8:V12"/>
    <mergeCell ref="V13:V18"/>
    <mergeCell ref="V19:V24"/>
    <mergeCell ref="V25:V26"/>
    <mergeCell ref="V27:V32"/>
    <mergeCell ref="V33:V38"/>
    <mergeCell ref="V39:V44"/>
    <mergeCell ref="V45:V50"/>
    <mergeCell ref="V51:V55"/>
    <mergeCell ref="V56:V61"/>
    <mergeCell ref="V62:V67"/>
    <mergeCell ref="V68:V73"/>
    <mergeCell ref="V74:V79"/>
    <mergeCell ref="V80:V85"/>
    <mergeCell ref="V86:V89"/>
    <mergeCell ref="V90:V92"/>
    <mergeCell ref="V93:V97"/>
    <mergeCell ref="V98:V103"/>
    <mergeCell ref="V104:V109"/>
    <mergeCell ref="V110:V115"/>
    <mergeCell ref="V116:V120"/>
    <mergeCell ref="V121:V122"/>
    <mergeCell ref="V123:V125"/>
    <mergeCell ref="V126:V128"/>
    <mergeCell ref="V129:V132"/>
    <mergeCell ref="V133:V138"/>
    <mergeCell ref="W3:W7"/>
    <mergeCell ref="W8:W12"/>
    <mergeCell ref="W13:W18"/>
    <mergeCell ref="W19:W24"/>
    <mergeCell ref="W25:W26"/>
    <mergeCell ref="W27:W32"/>
    <mergeCell ref="W33:W38"/>
    <mergeCell ref="W39:W44"/>
    <mergeCell ref="W45:W50"/>
    <mergeCell ref="W51:W55"/>
    <mergeCell ref="W56:W58"/>
    <mergeCell ref="W59:W61"/>
    <mergeCell ref="W62:W64"/>
    <mergeCell ref="W65:W67"/>
    <mergeCell ref="W68:W70"/>
    <mergeCell ref="W71:W73"/>
    <mergeCell ref="W74:W76"/>
    <mergeCell ref="W77:W79"/>
    <mergeCell ref="W80:W82"/>
    <mergeCell ref="W83:W85"/>
    <mergeCell ref="W86:W87"/>
    <mergeCell ref="W88:W89"/>
    <mergeCell ref="W90:W92"/>
    <mergeCell ref="W93:W97"/>
    <mergeCell ref="W98:W100"/>
    <mergeCell ref="W101:W103"/>
    <mergeCell ref="W104:W106"/>
    <mergeCell ref="W107:W109"/>
    <mergeCell ref="W110:W112"/>
    <mergeCell ref="W113:W115"/>
    <mergeCell ref="W116:W118"/>
    <mergeCell ref="W119:W120"/>
    <mergeCell ref="W121:W122"/>
    <mergeCell ref="W123:W125"/>
    <mergeCell ref="W126:W128"/>
    <mergeCell ref="W129:W130"/>
    <mergeCell ref="W131:W132"/>
    <mergeCell ref="W133:W135"/>
    <mergeCell ref="W136:W138"/>
    <mergeCell ref="X3:X7"/>
    <mergeCell ref="X8:X12"/>
    <mergeCell ref="X13:X18"/>
    <mergeCell ref="X19:X24"/>
    <mergeCell ref="X25:X26"/>
    <mergeCell ref="X27:X32"/>
    <mergeCell ref="X33:X38"/>
    <mergeCell ref="X39:X44"/>
    <mergeCell ref="X45:X50"/>
    <mergeCell ref="X51:X55"/>
    <mergeCell ref="X56:X58"/>
    <mergeCell ref="X59:X61"/>
    <mergeCell ref="X62:X64"/>
    <mergeCell ref="X65:X67"/>
    <mergeCell ref="X68:X70"/>
    <mergeCell ref="X71:X73"/>
    <mergeCell ref="X74:X76"/>
    <mergeCell ref="X77:X79"/>
    <mergeCell ref="X80:X82"/>
    <mergeCell ref="X83:X85"/>
    <mergeCell ref="X86:X87"/>
    <mergeCell ref="X88:X89"/>
    <mergeCell ref="X90:X92"/>
    <mergeCell ref="X93:X97"/>
    <mergeCell ref="X98:X100"/>
    <mergeCell ref="X101:X103"/>
    <mergeCell ref="X104:X106"/>
    <mergeCell ref="X107:X109"/>
    <mergeCell ref="X110:X112"/>
    <mergeCell ref="X113:X115"/>
    <mergeCell ref="X116:X118"/>
    <mergeCell ref="X119:X120"/>
    <mergeCell ref="X121:X122"/>
    <mergeCell ref="X123:X125"/>
    <mergeCell ref="X126:X128"/>
    <mergeCell ref="X129:X130"/>
    <mergeCell ref="X131:X132"/>
    <mergeCell ref="X133:X135"/>
    <mergeCell ref="X136:X138"/>
    <mergeCell ref="Y3:Y7"/>
    <mergeCell ref="Y8:Y12"/>
    <mergeCell ref="Y13:Y18"/>
    <mergeCell ref="Y19:Y24"/>
    <mergeCell ref="Y25:Y26"/>
    <mergeCell ref="Y27:Y32"/>
    <mergeCell ref="Y33:Y38"/>
    <mergeCell ref="Y39:Y44"/>
    <mergeCell ref="Y45:Y50"/>
    <mergeCell ref="Y51:Y55"/>
    <mergeCell ref="Y56:Y61"/>
    <mergeCell ref="Y62:Y67"/>
    <mergeCell ref="Y68:Y73"/>
    <mergeCell ref="Y74:Y79"/>
    <mergeCell ref="Y80:Y85"/>
    <mergeCell ref="Y86:Y89"/>
    <mergeCell ref="Y90:Y92"/>
    <mergeCell ref="Y93:Y97"/>
    <mergeCell ref="Y98:Y103"/>
    <mergeCell ref="Y104:Y109"/>
    <mergeCell ref="Y110:Y115"/>
    <mergeCell ref="Y116:Y120"/>
    <mergeCell ref="Y121:Y122"/>
    <mergeCell ref="Y123:Y125"/>
    <mergeCell ref="Y126:Y128"/>
    <mergeCell ref="Y129:Y132"/>
    <mergeCell ref="Y133:Y138"/>
    <mergeCell ref="Z3:Z7"/>
    <mergeCell ref="Z8:Z12"/>
    <mergeCell ref="Z13:Z18"/>
    <mergeCell ref="Z19:Z24"/>
    <mergeCell ref="Z25:Z26"/>
    <mergeCell ref="Z27:Z32"/>
    <mergeCell ref="Z33:Z38"/>
    <mergeCell ref="Z39:Z44"/>
    <mergeCell ref="Z45:Z50"/>
    <mergeCell ref="Z51:Z55"/>
    <mergeCell ref="Z56:Z61"/>
    <mergeCell ref="Z62:Z67"/>
    <mergeCell ref="Z68:Z73"/>
    <mergeCell ref="Z74:Z79"/>
    <mergeCell ref="Z80:Z85"/>
    <mergeCell ref="Z86:Z89"/>
    <mergeCell ref="Z90:Z92"/>
    <mergeCell ref="Z93:Z97"/>
    <mergeCell ref="Z98:Z103"/>
    <mergeCell ref="Z104:Z109"/>
    <mergeCell ref="Z110:Z115"/>
    <mergeCell ref="Z116:Z120"/>
    <mergeCell ref="Z121:Z122"/>
    <mergeCell ref="Z123:Z125"/>
    <mergeCell ref="Z126:Z128"/>
    <mergeCell ref="Z129:Z132"/>
    <mergeCell ref="Z133:Z138"/>
    <mergeCell ref="AA3:AA7"/>
    <mergeCell ref="AA8:AA12"/>
    <mergeCell ref="AA13:AA18"/>
    <mergeCell ref="AA19:AA24"/>
    <mergeCell ref="AA25:AA26"/>
    <mergeCell ref="AA27:AA32"/>
    <mergeCell ref="AA33:AA38"/>
    <mergeCell ref="AA39:AA44"/>
    <mergeCell ref="AA45:AA50"/>
    <mergeCell ref="AA51:AA55"/>
    <mergeCell ref="AA56:AA58"/>
    <mergeCell ref="AA59:AA61"/>
    <mergeCell ref="AA62:AA64"/>
    <mergeCell ref="AA65:AA67"/>
    <mergeCell ref="AA68:AA70"/>
    <mergeCell ref="AA71:AA73"/>
    <mergeCell ref="AA74:AA76"/>
    <mergeCell ref="AA77:AA79"/>
    <mergeCell ref="AA80:AA82"/>
    <mergeCell ref="AA83:AA85"/>
    <mergeCell ref="AA86:AA87"/>
    <mergeCell ref="AA88:AA89"/>
    <mergeCell ref="AA90:AA92"/>
    <mergeCell ref="AA93:AA97"/>
    <mergeCell ref="AA98:AA100"/>
    <mergeCell ref="AA101:AA103"/>
    <mergeCell ref="AA104:AA106"/>
    <mergeCell ref="AA107:AA109"/>
    <mergeCell ref="AA110:AA112"/>
    <mergeCell ref="AA113:AA115"/>
    <mergeCell ref="AA116:AA118"/>
    <mergeCell ref="AA119:AA120"/>
    <mergeCell ref="AA121:AA122"/>
    <mergeCell ref="AA123:AA125"/>
    <mergeCell ref="AA126:AA128"/>
    <mergeCell ref="AA129:AA130"/>
    <mergeCell ref="AA131:AA132"/>
    <mergeCell ref="AA133:AA135"/>
    <mergeCell ref="AA136:AA138"/>
    <mergeCell ref="AB3:AB7"/>
    <mergeCell ref="AB8:AB12"/>
    <mergeCell ref="AB13:AB18"/>
    <mergeCell ref="AB19:AB24"/>
    <mergeCell ref="AB25:AB26"/>
    <mergeCell ref="AB27:AB32"/>
    <mergeCell ref="AB33:AB38"/>
    <mergeCell ref="AB39:AB44"/>
    <mergeCell ref="AB45:AB50"/>
    <mergeCell ref="AB51:AB55"/>
    <mergeCell ref="AB56:AB58"/>
    <mergeCell ref="AB59:AB61"/>
    <mergeCell ref="AB62:AB64"/>
    <mergeCell ref="AB65:AB67"/>
    <mergeCell ref="AB68:AB70"/>
    <mergeCell ref="AB71:AB73"/>
    <mergeCell ref="AB74:AB76"/>
    <mergeCell ref="AB77:AB79"/>
    <mergeCell ref="AB80:AB82"/>
    <mergeCell ref="AB83:AB85"/>
    <mergeCell ref="AB86:AB87"/>
    <mergeCell ref="AB88:AB89"/>
    <mergeCell ref="AB90:AB92"/>
    <mergeCell ref="AB93:AB97"/>
    <mergeCell ref="AB98:AB100"/>
    <mergeCell ref="AB101:AB103"/>
    <mergeCell ref="AB104:AB106"/>
    <mergeCell ref="AB107:AB109"/>
    <mergeCell ref="AB110:AB112"/>
    <mergeCell ref="AB113:AB115"/>
    <mergeCell ref="AB116:AB118"/>
    <mergeCell ref="AB119:AB120"/>
    <mergeCell ref="AB121:AB122"/>
    <mergeCell ref="AB123:AB125"/>
    <mergeCell ref="AB126:AB128"/>
    <mergeCell ref="AB129:AB130"/>
    <mergeCell ref="AB131:AB132"/>
    <mergeCell ref="AB133:AB135"/>
    <mergeCell ref="AB136:AB138"/>
    <mergeCell ref="AC3:AC7"/>
    <mergeCell ref="AC8:AC12"/>
    <mergeCell ref="AC13:AC18"/>
    <mergeCell ref="AC19:AC24"/>
    <mergeCell ref="AC25:AC26"/>
    <mergeCell ref="AC27:AC32"/>
    <mergeCell ref="AC33:AC38"/>
    <mergeCell ref="AC39:AC44"/>
    <mergeCell ref="AC45:AC50"/>
    <mergeCell ref="AC51:AC55"/>
    <mergeCell ref="AC56:AC61"/>
    <mergeCell ref="AC62:AC67"/>
    <mergeCell ref="AC68:AC73"/>
    <mergeCell ref="AC74:AC79"/>
    <mergeCell ref="AC80:AC85"/>
    <mergeCell ref="AC86:AC89"/>
    <mergeCell ref="AC90:AC92"/>
    <mergeCell ref="AC93:AC97"/>
    <mergeCell ref="AC98:AC103"/>
    <mergeCell ref="AC104:AC109"/>
    <mergeCell ref="AC110:AC115"/>
    <mergeCell ref="AC116:AC120"/>
    <mergeCell ref="AC121:AC122"/>
    <mergeCell ref="AC123:AC125"/>
    <mergeCell ref="AC126:AC128"/>
    <mergeCell ref="AC129:AC132"/>
    <mergeCell ref="AC133:AC138"/>
    <mergeCell ref="AD3:AD7"/>
    <mergeCell ref="AD8:AD12"/>
    <mergeCell ref="AD13:AD18"/>
    <mergeCell ref="AD19:AD24"/>
    <mergeCell ref="AD25:AD26"/>
    <mergeCell ref="AD27:AD32"/>
    <mergeCell ref="AD33:AD38"/>
    <mergeCell ref="AD39:AD44"/>
    <mergeCell ref="AD45:AD50"/>
    <mergeCell ref="AD51:AD55"/>
    <mergeCell ref="AD56:AD61"/>
    <mergeCell ref="AD62:AD67"/>
    <mergeCell ref="AD68:AD73"/>
    <mergeCell ref="AD74:AD79"/>
    <mergeCell ref="AD80:AD85"/>
    <mergeCell ref="AD86:AD89"/>
    <mergeCell ref="AD90:AD92"/>
    <mergeCell ref="AD93:AD97"/>
    <mergeCell ref="AD98:AD103"/>
    <mergeCell ref="AD104:AD109"/>
    <mergeCell ref="AD110:AD115"/>
    <mergeCell ref="AD116:AD120"/>
    <mergeCell ref="AD121:AD122"/>
    <mergeCell ref="AD123:AD125"/>
    <mergeCell ref="AD126:AD128"/>
    <mergeCell ref="AD129:AD132"/>
    <mergeCell ref="AD133:AD138"/>
    <mergeCell ref="AE3:AE7"/>
    <mergeCell ref="AE8:AE12"/>
    <mergeCell ref="AE13:AE18"/>
    <mergeCell ref="AE19:AE24"/>
    <mergeCell ref="AE25:AE26"/>
    <mergeCell ref="AE27:AE32"/>
    <mergeCell ref="AE33:AE38"/>
    <mergeCell ref="AE39:AE44"/>
    <mergeCell ref="AE45:AE50"/>
    <mergeCell ref="AE51:AE55"/>
    <mergeCell ref="AE56:AE58"/>
    <mergeCell ref="AE59:AE61"/>
    <mergeCell ref="AE62:AE64"/>
    <mergeCell ref="AE65:AE67"/>
    <mergeCell ref="AE68:AE70"/>
    <mergeCell ref="AE71:AE73"/>
    <mergeCell ref="AE74:AE76"/>
    <mergeCell ref="AE77:AE79"/>
    <mergeCell ref="AE80:AE82"/>
    <mergeCell ref="AE83:AE85"/>
    <mergeCell ref="AE86:AE87"/>
    <mergeCell ref="AE88:AE89"/>
    <mergeCell ref="AE90:AE92"/>
    <mergeCell ref="AE93:AE97"/>
    <mergeCell ref="AE98:AE100"/>
    <mergeCell ref="AE101:AE103"/>
    <mergeCell ref="AE104:AE106"/>
    <mergeCell ref="AE107:AE109"/>
    <mergeCell ref="AE110:AE112"/>
    <mergeCell ref="AE113:AE115"/>
    <mergeCell ref="AE116:AE118"/>
    <mergeCell ref="AE119:AE120"/>
    <mergeCell ref="AE121:AE122"/>
    <mergeCell ref="AE123:AE125"/>
    <mergeCell ref="AE126:AE128"/>
    <mergeCell ref="AE129:AE130"/>
    <mergeCell ref="AE131:AE132"/>
    <mergeCell ref="AE133:AE135"/>
    <mergeCell ref="AE136:AE138"/>
    <mergeCell ref="AF3:AF7"/>
    <mergeCell ref="AF8:AF12"/>
    <mergeCell ref="AF13:AF18"/>
    <mergeCell ref="AF19:AF24"/>
    <mergeCell ref="AF25:AF26"/>
    <mergeCell ref="AF27:AF32"/>
    <mergeCell ref="AF33:AF38"/>
    <mergeCell ref="AF39:AF44"/>
    <mergeCell ref="AF45:AF50"/>
    <mergeCell ref="AF51:AF55"/>
    <mergeCell ref="AF56:AF58"/>
    <mergeCell ref="AF59:AF61"/>
    <mergeCell ref="AF62:AF64"/>
    <mergeCell ref="AF65:AF67"/>
    <mergeCell ref="AF68:AF70"/>
    <mergeCell ref="AF71:AF73"/>
    <mergeCell ref="AF74:AF76"/>
    <mergeCell ref="AF77:AF79"/>
    <mergeCell ref="AF80:AF82"/>
    <mergeCell ref="AF83:AF85"/>
    <mergeCell ref="AF86:AF87"/>
    <mergeCell ref="AF88:AF89"/>
    <mergeCell ref="AF90:AF92"/>
    <mergeCell ref="AF93:AF97"/>
    <mergeCell ref="AF98:AF100"/>
    <mergeCell ref="AF101:AF103"/>
    <mergeCell ref="AF104:AF106"/>
    <mergeCell ref="AF107:AF109"/>
    <mergeCell ref="AF110:AF112"/>
    <mergeCell ref="AF113:AF115"/>
    <mergeCell ref="AF116:AF118"/>
    <mergeCell ref="AF119:AF120"/>
    <mergeCell ref="AF121:AF122"/>
    <mergeCell ref="AF123:AF125"/>
    <mergeCell ref="AF126:AF128"/>
    <mergeCell ref="AF129:AF130"/>
    <mergeCell ref="AF131:AF132"/>
    <mergeCell ref="AF133:AF135"/>
    <mergeCell ref="AF136:AF138"/>
    <mergeCell ref="AG3:AG7"/>
    <mergeCell ref="AG8:AG12"/>
    <mergeCell ref="AG13:AG18"/>
    <mergeCell ref="AG19:AG24"/>
    <mergeCell ref="AG25:AG26"/>
    <mergeCell ref="AG27:AG32"/>
    <mergeCell ref="AG33:AG38"/>
    <mergeCell ref="AG39:AG44"/>
    <mergeCell ref="AG45:AG50"/>
    <mergeCell ref="AG51:AG55"/>
    <mergeCell ref="AG56:AG61"/>
    <mergeCell ref="AG62:AG67"/>
    <mergeCell ref="AG68:AG73"/>
    <mergeCell ref="AG74:AG79"/>
    <mergeCell ref="AG80:AG85"/>
    <mergeCell ref="AG86:AG89"/>
    <mergeCell ref="AG90:AG92"/>
    <mergeCell ref="AG93:AG97"/>
    <mergeCell ref="AG98:AG103"/>
    <mergeCell ref="AG104:AG109"/>
    <mergeCell ref="AG110:AG115"/>
    <mergeCell ref="AG116:AG120"/>
    <mergeCell ref="AG121:AG122"/>
    <mergeCell ref="AG123:AG125"/>
    <mergeCell ref="AG126:AG128"/>
    <mergeCell ref="AG129:AG132"/>
    <mergeCell ref="AG133:AG138"/>
    <mergeCell ref="AH3:AH7"/>
    <mergeCell ref="AH8:AH12"/>
    <mergeCell ref="AH13:AH18"/>
    <mergeCell ref="AH19:AH24"/>
    <mergeCell ref="AH25:AH26"/>
    <mergeCell ref="AH27:AH32"/>
    <mergeCell ref="AH33:AH38"/>
    <mergeCell ref="AH39:AH44"/>
    <mergeCell ref="AH45:AH50"/>
    <mergeCell ref="AH51:AH55"/>
    <mergeCell ref="AH56:AH61"/>
    <mergeCell ref="AH62:AH67"/>
    <mergeCell ref="AH68:AH73"/>
    <mergeCell ref="AH74:AH79"/>
    <mergeCell ref="AH80:AH85"/>
    <mergeCell ref="AH86:AH89"/>
    <mergeCell ref="AH90:AH92"/>
    <mergeCell ref="AH93:AH97"/>
    <mergeCell ref="AH98:AH103"/>
    <mergeCell ref="AH104:AH109"/>
    <mergeCell ref="AH110:AH115"/>
    <mergeCell ref="AH116:AH120"/>
    <mergeCell ref="AH121:AH122"/>
    <mergeCell ref="AH123:AH125"/>
    <mergeCell ref="AH126:AH128"/>
    <mergeCell ref="AH129:AH132"/>
    <mergeCell ref="AH133:AH138"/>
    <mergeCell ref="AI3:AI7"/>
    <mergeCell ref="AI8:AI12"/>
    <mergeCell ref="AI13:AI18"/>
    <mergeCell ref="AI19:AI24"/>
    <mergeCell ref="AI25:AI26"/>
    <mergeCell ref="AI27:AI32"/>
    <mergeCell ref="AI33:AI38"/>
    <mergeCell ref="AI39:AI44"/>
    <mergeCell ref="AI45:AI50"/>
    <mergeCell ref="AI51:AI55"/>
    <mergeCell ref="AI56:AI58"/>
    <mergeCell ref="AI59:AI61"/>
    <mergeCell ref="AI62:AI64"/>
    <mergeCell ref="AI65:AI67"/>
    <mergeCell ref="AI68:AI70"/>
    <mergeCell ref="AI71:AI73"/>
    <mergeCell ref="AI74:AI76"/>
    <mergeCell ref="AI77:AI79"/>
    <mergeCell ref="AI80:AI82"/>
    <mergeCell ref="AI83:AI85"/>
    <mergeCell ref="AI86:AI87"/>
    <mergeCell ref="AI88:AI89"/>
    <mergeCell ref="AI90:AI92"/>
    <mergeCell ref="AI93:AI97"/>
    <mergeCell ref="AI98:AI100"/>
    <mergeCell ref="AI101:AI103"/>
    <mergeCell ref="AI104:AI106"/>
    <mergeCell ref="AI107:AI109"/>
    <mergeCell ref="AI110:AI112"/>
    <mergeCell ref="AI113:AI115"/>
    <mergeCell ref="AI116:AI118"/>
    <mergeCell ref="AI119:AI120"/>
    <mergeCell ref="AI121:AI122"/>
    <mergeCell ref="AI123:AI125"/>
    <mergeCell ref="AI126:AI128"/>
    <mergeCell ref="AI129:AI130"/>
    <mergeCell ref="AI131:AI132"/>
    <mergeCell ref="AI133:AI135"/>
    <mergeCell ref="AI136:AI138"/>
    <mergeCell ref="AJ3:AJ7"/>
    <mergeCell ref="AJ8:AJ12"/>
    <mergeCell ref="AJ13:AJ18"/>
    <mergeCell ref="AJ19:AJ24"/>
    <mergeCell ref="AJ25:AJ26"/>
    <mergeCell ref="AJ27:AJ32"/>
    <mergeCell ref="AJ33:AJ38"/>
    <mergeCell ref="AJ39:AJ44"/>
    <mergeCell ref="AJ45:AJ50"/>
    <mergeCell ref="AJ51:AJ55"/>
    <mergeCell ref="AJ56:AJ58"/>
    <mergeCell ref="AJ59:AJ61"/>
    <mergeCell ref="AJ62:AJ64"/>
    <mergeCell ref="AJ65:AJ67"/>
    <mergeCell ref="AJ68:AJ70"/>
    <mergeCell ref="AJ71:AJ73"/>
    <mergeCell ref="AJ74:AJ76"/>
    <mergeCell ref="AJ77:AJ79"/>
    <mergeCell ref="AJ80:AJ82"/>
    <mergeCell ref="AJ83:AJ85"/>
    <mergeCell ref="AJ86:AJ87"/>
    <mergeCell ref="AJ88:AJ89"/>
    <mergeCell ref="AJ90:AJ92"/>
    <mergeCell ref="AJ93:AJ97"/>
    <mergeCell ref="AJ98:AJ100"/>
    <mergeCell ref="AJ101:AJ103"/>
    <mergeCell ref="AJ104:AJ106"/>
    <mergeCell ref="AJ107:AJ109"/>
    <mergeCell ref="AJ110:AJ112"/>
    <mergeCell ref="AJ113:AJ115"/>
    <mergeCell ref="AJ116:AJ118"/>
    <mergeCell ref="AJ119:AJ120"/>
    <mergeCell ref="AJ121:AJ122"/>
    <mergeCell ref="AJ123:AJ125"/>
    <mergeCell ref="AJ126:AJ128"/>
    <mergeCell ref="AJ129:AJ130"/>
    <mergeCell ref="AJ131:AJ132"/>
    <mergeCell ref="AJ133:AJ135"/>
    <mergeCell ref="AJ136:AJ138"/>
    <mergeCell ref="AK3:AK7"/>
    <mergeCell ref="AK8:AK12"/>
    <mergeCell ref="AK13:AK18"/>
    <mergeCell ref="AK19:AK24"/>
    <mergeCell ref="AK25:AK26"/>
    <mergeCell ref="AK27:AK32"/>
    <mergeCell ref="AK33:AK38"/>
    <mergeCell ref="AK39:AK44"/>
    <mergeCell ref="AK45:AK50"/>
    <mergeCell ref="AK51:AK55"/>
    <mergeCell ref="AK56:AK61"/>
    <mergeCell ref="AK62:AK67"/>
    <mergeCell ref="AK68:AK73"/>
    <mergeCell ref="AK74:AK79"/>
    <mergeCell ref="AK80:AK85"/>
    <mergeCell ref="AK86:AK89"/>
    <mergeCell ref="AK90:AK92"/>
    <mergeCell ref="AK93:AK97"/>
    <mergeCell ref="AK98:AK103"/>
    <mergeCell ref="AK104:AK109"/>
    <mergeCell ref="AK110:AK115"/>
    <mergeCell ref="AK116:AK120"/>
    <mergeCell ref="AK121:AK122"/>
    <mergeCell ref="AK123:AK125"/>
    <mergeCell ref="AK126:AK128"/>
    <mergeCell ref="AK129:AK132"/>
    <mergeCell ref="AK133:AK138"/>
    <mergeCell ref="AL3:AL7"/>
    <mergeCell ref="AL8:AL12"/>
    <mergeCell ref="AL13:AL18"/>
    <mergeCell ref="AL19:AL24"/>
    <mergeCell ref="AL25:AL26"/>
    <mergeCell ref="AL27:AL32"/>
    <mergeCell ref="AL33:AL38"/>
    <mergeCell ref="AL39:AL44"/>
    <mergeCell ref="AL45:AL50"/>
    <mergeCell ref="AL51:AL55"/>
    <mergeCell ref="AL56:AL61"/>
    <mergeCell ref="AL62:AL67"/>
    <mergeCell ref="AL68:AL73"/>
    <mergeCell ref="AL74:AL79"/>
    <mergeCell ref="AL80:AL85"/>
    <mergeCell ref="AL86:AL89"/>
    <mergeCell ref="AL90:AL92"/>
    <mergeCell ref="AL93:AL97"/>
    <mergeCell ref="AL98:AL103"/>
    <mergeCell ref="AL104:AL109"/>
    <mergeCell ref="AL110:AL115"/>
    <mergeCell ref="AL116:AL120"/>
    <mergeCell ref="AL121:AL122"/>
    <mergeCell ref="AL123:AL125"/>
    <mergeCell ref="AL126:AL128"/>
    <mergeCell ref="AL129:AL132"/>
    <mergeCell ref="AL133:AL138"/>
    <mergeCell ref="AM3:AM7"/>
    <mergeCell ref="AM8:AM12"/>
    <mergeCell ref="AM13:AM18"/>
    <mergeCell ref="AM19:AM24"/>
    <mergeCell ref="AM25:AM26"/>
    <mergeCell ref="AM27:AM32"/>
    <mergeCell ref="AM33:AM38"/>
    <mergeCell ref="AM39:AM44"/>
    <mergeCell ref="AM45:AM50"/>
    <mergeCell ref="AM51:AM55"/>
    <mergeCell ref="AM56:AM58"/>
    <mergeCell ref="AM59:AM61"/>
    <mergeCell ref="AM62:AM64"/>
    <mergeCell ref="AM65:AM67"/>
    <mergeCell ref="AM68:AM70"/>
    <mergeCell ref="AM71:AM73"/>
    <mergeCell ref="AM74:AM76"/>
    <mergeCell ref="AM77:AM79"/>
    <mergeCell ref="AM80:AM82"/>
    <mergeCell ref="AM83:AM85"/>
    <mergeCell ref="AM86:AM87"/>
    <mergeCell ref="AM88:AM89"/>
    <mergeCell ref="AM90:AM92"/>
    <mergeCell ref="AM93:AM97"/>
    <mergeCell ref="AM98:AM100"/>
    <mergeCell ref="AM101:AM103"/>
    <mergeCell ref="AM104:AM106"/>
    <mergeCell ref="AM107:AM109"/>
    <mergeCell ref="AM110:AM112"/>
    <mergeCell ref="AM113:AM115"/>
    <mergeCell ref="AM116:AM118"/>
    <mergeCell ref="AM119:AM120"/>
    <mergeCell ref="AM121:AM122"/>
    <mergeCell ref="AM123:AM125"/>
    <mergeCell ref="AM126:AM128"/>
    <mergeCell ref="AM129:AM130"/>
    <mergeCell ref="AM131:AM132"/>
    <mergeCell ref="AM133:AM135"/>
    <mergeCell ref="AM136:AM138"/>
    <mergeCell ref="AN3:AN7"/>
    <mergeCell ref="AN8:AN12"/>
    <mergeCell ref="AN13:AN18"/>
    <mergeCell ref="AN19:AN24"/>
    <mergeCell ref="AN25:AN26"/>
    <mergeCell ref="AN27:AN32"/>
    <mergeCell ref="AN33:AN38"/>
    <mergeCell ref="AN39:AN44"/>
    <mergeCell ref="AN45:AN50"/>
    <mergeCell ref="AN51:AN55"/>
    <mergeCell ref="AN56:AN58"/>
    <mergeCell ref="AN59:AN61"/>
    <mergeCell ref="AN62:AN64"/>
    <mergeCell ref="AN65:AN67"/>
    <mergeCell ref="AN68:AN70"/>
    <mergeCell ref="AN71:AN73"/>
    <mergeCell ref="AN74:AN76"/>
    <mergeCell ref="AN77:AN79"/>
    <mergeCell ref="AN80:AN82"/>
    <mergeCell ref="AN83:AN85"/>
    <mergeCell ref="AN86:AN87"/>
    <mergeCell ref="AN88:AN89"/>
    <mergeCell ref="AN90:AN92"/>
    <mergeCell ref="AN93:AN97"/>
    <mergeCell ref="AN98:AN100"/>
    <mergeCell ref="AN101:AN103"/>
    <mergeCell ref="AN104:AN106"/>
    <mergeCell ref="AN107:AN109"/>
    <mergeCell ref="AN110:AN112"/>
    <mergeCell ref="AN113:AN115"/>
    <mergeCell ref="AN116:AN118"/>
    <mergeCell ref="AN119:AN120"/>
    <mergeCell ref="AN121:AN122"/>
    <mergeCell ref="AN123:AN125"/>
    <mergeCell ref="AN126:AN128"/>
    <mergeCell ref="AN129:AN130"/>
    <mergeCell ref="AN131:AN132"/>
    <mergeCell ref="AN133:AN135"/>
    <mergeCell ref="AN136:AN138"/>
    <mergeCell ref="AO3:AO7"/>
    <mergeCell ref="AO8:AO12"/>
    <mergeCell ref="AO13:AO18"/>
    <mergeCell ref="AO19:AO24"/>
    <mergeCell ref="AO25:AO26"/>
    <mergeCell ref="AO27:AO32"/>
    <mergeCell ref="AO33:AO38"/>
    <mergeCell ref="AO39:AO44"/>
    <mergeCell ref="AO45:AO50"/>
    <mergeCell ref="AO51:AO55"/>
    <mergeCell ref="AO56:AO61"/>
    <mergeCell ref="AO62:AO67"/>
    <mergeCell ref="AO68:AO73"/>
    <mergeCell ref="AO74:AO79"/>
    <mergeCell ref="AO80:AO85"/>
    <mergeCell ref="AO86:AO89"/>
    <mergeCell ref="AO90:AO92"/>
    <mergeCell ref="AO93:AO97"/>
    <mergeCell ref="AO98:AO103"/>
    <mergeCell ref="AO104:AO109"/>
    <mergeCell ref="AO110:AO115"/>
    <mergeCell ref="AO116:AO120"/>
    <mergeCell ref="AO121:AO122"/>
    <mergeCell ref="AO123:AO125"/>
    <mergeCell ref="AO126:AO128"/>
    <mergeCell ref="AO129:AO132"/>
    <mergeCell ref="AO133:AO138"/>
    <mergeCell ref="AP3:AP7"/>
    <mergeCell ref="AP8:AP12"/>
    <mergeCell ref="AP13:AP18"/>
    <mergeCell ref="AP19:AP24"/>
    <mergeCell ref="AP25:AP26"/>
    <mergeCell ref="AP27:AP32"/>
    <mergeCell ref="AP33:AP38"/>
    <mergeCell ref="AP39:AP44"/>
    <mergeCell ref="AP45:AP50"/>
    <mergeCell ref="AP51:AP55"/>
    <mergeCell ref="AP56:AP61"/>
    <mergeCell ref="AP62:AP67"/>
    <mergeCell ref="AP68:AP73"/>
    <mergeCell ref="AP74:AP79"/>
    <mergeCell ref="AP80:AP85"/>
    <mergeCell ref="AP86:AP89"/>
    <mergeCell ref="AP90:AP92"/>
    <mergeCell ref="AP93:AP97"/>
    <mergeCell ref="AP98:AP103"/>
    <mergeCell ref="AP104:AP109"/>
    <mergeCell ref="AP110:AP115"/>
    <mergeCell ref="AP116:AP120"/>
    <mergeCell ref="AP121:AP122"/>
    <mergeCell ref="AP123:AP125"/>
    <mergeCell ref="AP126:AP128"/>
    <mergeCell ref="AP129:AP132"/>
    <mergeCell ref="AP133:AP138"/>
    <mergeCell ref="AQ3:AQ7"/>
    <mergeCell ref="AQ8:AQ12"/>
    <mergeCell ref="AQ13:AQ18"/>
    <mergeCell ref="AQ19:AQ24"/>
    <mergeCell ref="AQ25:AQ26"/>
    <mergeCell ref="AQ27:AQ32"/>
    <mergeCell ref="AQ33:AQ38"/>
    <mergeCell ref="AQ39:AQ44"/>
    <mergeCell ref="AQ45:AQ50"/>
    <mergeCell ref="AQ51:AQ55"/>
    <mergeCell ref="AQ56:AQ58"/>
    <mergeCell ref="AQ59:AQ61"/>
    <mergeCell ref="AQ62:AQ64"/>
    <mergeCell ref="AQ65:AQ67"/>
    <mergeCell ref="AQ68:AQ70"/>
    <mergeCell ref="AQ71:AQ73"/>
    <mergeCell ref="AQ74:AQ76"/>
    <mergeCell ref="AQ77:AQ79"/>
    <mergeCell ref="AQ80:AQ82"/>
    <mergeCell ref="AQ83:AQ85"/>
    <mergeCell ref="AQ86:AQ87"/>
    <mergeCell ref="AQ88:AQ89"/>
    <mergeCell ref="AQ90:AQ92"/>
    <mergeCell ref="AQ93:AQ97"/>
    <mergeCell ref="AQ98:AQ100"/>
    <mergeCell ref="AQ101:AQ103"/>
    <mergeCell ref="AQ104:AQ106"/>
    <mergeCell ref="AQ107:AQ109"/>
    <mergeCell ref="AQ110:AQ112"/>
    <mergeCell ref="AQ113:AQ115"/>
    <mergeCell ref="AQ116:AQ118"/>
    <mergeCell ref="AQ119:AQ120"/>
    <mergeCell ref="AQ121:AQ122"/>
    <mergeCell ref="AQ123:AQ125"/>
    <mergeCell ref="AQ126:AQ128"/>
    <mergeCell ref="AQ129:AQ130"/>
    <mergeCell ref="AQ131:AQ132"/>
    <mergeCell ref="AQ133:AQ135"/>
    <mergeCell ref="AQ136:AQ138"/>
    <mergeCell ref="AR3:AR7"/>
    <mergeCell ref="AR8:AR12"/>
    <mergeCell ref="AR13:AR18"/>
    <mergeCell ref="AR19:AR24"/>
    <mergeCell ref="AR25:AR26"/>
    <mergeCell ref="AR27:AR32"/>
    <mergeCell ref="AR33:AR38"/>
    <mergeCell ref="AR39:AR44"/>
    <mergeCell ref="AR45:AR50"/>
    <mergeCell ref="AR51:AR55"/>
    <mergeCell ref="AR56:AR58"/>
    <mergeCell ref="AR59:AR61"/>
    <mergeCell ref="AR62:AR64"/>
    <mergeCell ref="AR65:AR67"/>
    <mergeCell ref="AR68:AR70"/>
    <mergeCell ref="AR71:AR73"/>
    <mergeCell ref="AR74:AR76"/>
    <mergeCell ref="AR77:AR79"/>
    <mergeCell ref="AR80:AR82"/>
    <mergeCell ref="AR83:AR85"/>
    <mergeCell ref="AR86:AR87"/>
    <mergeCell ref="AR88:AR89"/>
    <mergeCell ref="AR90:AR92"/>
    <mergeCell ref="AR93:AR97"/>
    <mergeCell ref="AR98:AR100"/>
    <mergeCell ref="AR101:AR103"/>
    <mergeCell ref="AR104:AR106"/>
    <mergeCell ref="AR107:AR109"/>
    <mergeCell ref="AR110:AR112"/>
    <mergeCell ref="AR113:AR115"/>
    <mergeCell ref="AR116:AR118"/>
    <mergeCell ref="AR119:AR120"/>
    <mergeCell ref="AR121:AR122"/>
    <mergeCell ref="AR123:AR125"/>
    <mergeCell ref="AR126:AR128"/>
    <mergeCell ref="AR129:AR130"/>
    <mergeCell ref="AR131:AR132"/>
    <mergeCell ref="AR133:AR135"/>
    <mergeCell ref="AR136:AR138"/>
    <mergeCell ref="AS3:AS7"/>
    <mergeCell ref="AS8:AS12"/>
    <mergeCell ref="AS13:AS18"/>
    <mergeCell ref="AS19:AS24"/>
    <mergeCell ref="AS25:AS26"/>
    <mergeCell ref="AS27:AS32"/>
    <mergeCell ref="AS33:AS38"/>
    <mergeCell ref="AS39:AS44"/>
    <mergeCell ref="AS45:AS50"/>
    <mergeCell ref="AS51:AS55"/>
    <mergeCell ref="AS56:AS61"/>
    <mergeCell ref="AS62:AS67"/>
    <mergeCell ref="AS68:AS73"/>
    <mergeCell ref="AS74:AS79"/>
    <mergeCell ref="AS80:AS85"/>
    <mergeCell ref="AS86:AS89"/>
    <mergeCell ref="AS90:AS92"/>
    <mergeCell ref="AS93:AS97"/>
    <mergeCell ref="AS98:AS103"/>
    <mergeCell ref="AS104:AS109"/>
    <mergeCell ref="AS110:AS115"/>
    <mergeCell ref="AS116:AS120"/>
    <mergeCell ref="AS121:AS122"/>
    <mergeCell ref="AS123:AS125"/>
    <mergeCell ref="AS126:AS128"/>
    <mergeCell ref="AS129:AS132"/>
    <mergeCell ref="AS133:AS138"/>
    <mergeCell ref="AT3:AT7"/>
    <mergeCell ref="AT8:AT12"/>
    <mergeCell ref="AT13:AT18"/>
    <mergeCell ref="AT19:AT24"/>
    <mergeCell ref="AT25:AT26"/>
    <mergeCell ref="AT27:AT32"/>
    <mergeCell ref="AT33:AT38"/>
    <mergeCell ref="AT39:AT44"/>
    <mergeCell ref="AT45:AT50"/>
    <mergeCell ref="AT51:AT55"/>
    <mergeCell ref="AT56:AT61"/>
    <mergeCell ref="AT62:AT67"/>
    <mergeCell ref="AT68:AT73"/>
    <mergeCell ref="AT74:AT79"/>
    <mergeCell ref="AT80:AT85"/>
    <mergeCell ref="AT86:AT89"/>
    <mergeCell ref="AT90:AT92"/>
    <mergeCell ref="AT93:AT97"/>
    <mergeCell ref="AT98:AT103"/>
    <mergeCell ref="AT104:AT109"/>
    <mergeCell ref="AT110:AT115"/>
    <mergeCell ref="AT116:AT120"/>
    <mergeCell ref="AT121:AT122"/>
    <mergeCell ref="AT123:AT125"/>
    <mergeCell ref="AT126:AT128"/>
    <mergeCell ref="AT129:AT132"/>
    <mergeCell ref="AT133:AT138"/>
    <mergeCell ref="AU3:AU7"/>
    <mergeCell ref="AU8:AU12"/>
    <mergeCell ref="AU13:AU18"/>
    <mergeCell ref="AU19:AU24"/>
    <mergeCell ref="AU25:AU26"/>
    <mergeCell ref="AU27:AU32"/>
    <mergeCell ref="AU33:AU38"/>
    <mergeCell ref="AU39:AU44"/>
    <mergeCell ref="AU45:AU50"/>
    <mergeCell ref="AU51:AU55"/>
    <mergeCell ref="AU56:AU58"/>
    <mergeCell ref="AU59:AU61"/>
    <mergeCell ref="AU62:AU64"/>
    <mergeCell ref="AU65:AU67"/>
    <mergeCell ref="AU68:AU70"/>
    <mergeCell ref="AU71:AU73"/>
    <mergeCell ref="AU74:AU76"/>
    <mergeCell ref="AU77:AU79"/>
    <mergeCell ref="AU80:AU82"/>
    <mergeCell ref="AU83:AU85"/>
    <mergeCell ref="AU86:AU87"/>
    <mergeCell ref="AU88:AU89"/>
    <mergeCell ref="AU90:AU92"/>
    <mergeCell ref="AU93:AU97"/>
    <mergeCell ref="AU98:AU100"/>
    <mergeCell ref="AU101:AU103"/>
    <mergeCell ref="AU104:AU106"/>
    <mergeCell ref="AU107:AU109"/>
    <mergeCell ref="AU110:AU112"/>
    <mergeCell ref="AU113:AU115"/>
    <mergeCell ref="AU116:AU118"/>
    <mergeCell ref="AU119:AU120"/>
    <mergeCell ref="AU121:AU122"/>
    <mergeCell ref="AU123:AU125"/>
    <mergeCell ref="AU126:AU128"/>
    <mergeCell ref="AU129:AU130"/>
    <mergeCell ref="AU131:AU132"/>
    <mergeCell ref="AU133:AU135"/>
    <mergeCell ref="AU136:AU138"/>
    <mergeCell ref="AV3:AV7"/>
    <mergeCell ref="AV8:AV12"/>
    <mergeCell ref="AV13:AV18"/>
    <mergeCell ref="AV19:AV24"/>
    <mergeCell ref="AV25:AV26"/>
    <mergeCell ref="AV27:AV32"/>
    <mergeCell ref="AV33:AV38"/>
    <mergeCell ref="AV39:AV44"/>
    <mergeCell ref="AV45:AV50"/>
    <mergeCell ref="AV51:AV55"/>
    <mergeCell ref="AV56:AV58"/>
    <mergeCell ref="AV59:AV61"/>
    <mergeCell ref="AV62:AV64"/>
    <mergeCell ref="AV65:AV67"/>
    <mergeCell ref="AV68:AV70"/>
    <mergeCell ref="AV71:AV73"/>
    <mergeCell ref="AV74:AV76"/>
    <mergeCell ref="AV77:AV79"/>
    <mergeCell ref="AV80:AV82"/>
    <mergeCell ref="AV83:AV85"/>
    <mergeCell ref="AV86:AV87"/>
    <mergeCell ref="AV88:AV89"/>
    <mergeCell ref="AV90:AV92"/>
    <mergeCell ref="AV93:AV97"/>
    <mergeCell ref="AV98:AV100"/>
    <mergeCell ref="AV101:AV103"/>
    <mergeCell ref="AV104:AV106"/>
    <mergeCell ref="AV107:AV109"/>
    <mergeCell ref="AV110:AV112"/>
    <mergeCell ref="AV113:AV115"/>
    <mergeCell ref="AV116:AV118"/>
    <mergeCell ref="AV119:AV120"/>
    <mergeCell ref="AV121:AV122"/>
    <mergeCell ref="AV123:AV125"/>
    <mergeCell ref="AV126:AV128"/>
    <mergeCell ref="AV129:AV130"/>
    <mergeCell ref="AV131:AV132"/>
    <mergeCell ref="AV133:AV135"/>
    <mergeCell ref="AV136:AV138"/>
    <mergeCell ref="AW3:AW7"/>
    <mergeCell ref="AW8:AW12"/>
    <mergeCell ref="AW13:AW18"/>
    <mergeCell ref="AW19:AW24"/>
    <mergeCell ref="AW25:AW26"/>
    <mergeCell ref="AW27:AW32"/>
    <mergeCell ref="AW33:AW38"/>
    <mergeCell ref="AW39:AW44"/>
    <mergeCell ref="AW45:AW50"/>
    <mergeCell ref="AW51:AW55"/>
    <mergeCell ref="AW56:AW61"/>
    <mergeCell ref="AW62:AW67"/>
    <mergeCell ref="AW68:AW73"/>
    <mergeCell ref="AW74:AW79"/>
    <mergeCell ref="AW80:AW85"/>
    <mergeCell ref="AW86:AW89"/>
    <mergeCell ref="AW90:AW92"/>
    <mergeCell ref="AW93:AW97"/>
    <mergeCell ref="AW98:AW103"/>
    <mergeCell ref="AW104:AW109"/>
    <mergeCell ref="AW110:AW115"/>
    <mergeCell ref="AW116:AW120"/>
    <mergeCell ref="AW121:AW122"/>
    <mergeCell ref="AW123:AW125"/>
    <mergeCell ref="AW126:AW128"/>
    <mergeCell ref="AW129:AW132"/>
    <mergeCell ref="AW133:AW138"/>
    <mergeCell ref="AX3:AX7"/>
    <mergeCell ref="AX8:AX12"/>
    <mergeCell ref="AX13:AX18"/>
    <mergeCell ref="AX19:AX24"/>
    <mergeCell ref="AX25:AX26"/>
    <mergeCell ref="AX27:AX32"/>
    <mergeCell ref="AX33:AX38"/>
    <mergeCell ref="AX39:AX44"/>
    <mergeCell ref="AX45:AX50"/>
    <mergeCell ref="AX51:AX55"/>
    <mergeCell ref="AX56:AX61"/>
    <mergeCell ref="AX62:AX67"/>
    <mergeCell ref="AX68:AX73"/>
    <mergeCell ref="AX74:AX79"/>
    <mergeCell ref="AX80:AX85"/>
    <mergeCell ref="AX86:AX89"/>
    <mergeCell ref="AX90:AX92"/>
    <mergeCell ref="AX93:AX97"/>
    <mergeCell ref="AX98:AX103"/>
    <mergeCell ref="AX104:AX109"/>
    <mergeCell ref="AX110:AX115"/>
    <mergeCell ref="AX116:AX120"/>
    <mergeCell ref="AX121:AX122"/>
    <mergeCell ref="AX123:AX125"/>
    <mergeCell ref="AX126:AX128"/>
    <mergeCell ref="AX129:AX132"/>
    <mergeCell ref="AX133:AX138"/>
    <mergeCell ref="AY3:AY7"/>
    <mergeCell ref="AY8:AY12"/>
    <mergeCell ref="AY13:AY18"/>
    <mergeCell ref="AY19:AY24"/>
    <mergeCell ref="AY25:AY26"/>
    <mergeCell ref="AY27:AY32"/>
    <mergeCell ref="AY33:AY38"/>
    <mergeCell ref="AY39:AY44"/>
    <mergeCell ref="AY45:AY50"/>
    <mergeCell ref="AY51:AY55"/>
    <mergeCell ref="AY56:AY58"/>
    <mergeCell ref="AY59:AY61"/>
    <mergeCell ref="AY62:AY64"/>
    <mergeCell ref="AY65:AY67"/>
    <mergeCell ref="AY68:AY70"/>
    <mergeCell ref="AY71:AY73"/>
    <mergeCell ref="AY74:AY76"/>
    <mergeCell ref="AY77:AY79"/>
    <mergeCell ref="AY80:AY82"/>
    <mergeCell ref="AY83:AY85"/>
    <mergeCell ref="AY86:AY87"/>
    <mergeCell ref="AY88:AY89"/>
    <mergeCell ref="AY90:AY92"/>
    <mergeCell ref="AY93:AY97"/>
    <mergeCell ref="AY98:AY100"/>
    <mergeCell ref="AY101:AY103"/>
    <mergeCell ref="AY104:AY106"/>
    <mergeCell ref="AY107:AY109"/>
    <mergeCell ref="AY110:AY112"/>
    <mergeCell ref="AY113:AY115"/>
    <mergeCell ref="AY116:AY118"/>
    <mergeCell ref="AY119:AY120"/>
    <mergeCell ref="AY121:AY122"/>
    <mergeCell ref="AY123:AY125"/>
    <mergeCell ref="AY126:AY128"/>
    <mergeCell ref="AY129:AY130"/>
    <mergeCell ref="AY131:AY132"/>
    <mergeCell ref="AY133:AY135"/>
    <mergeCell ref="AY136:AY138"/>
    <mergeCell ref="AZ3:AZ7"/>
    <mergeCell ref="AZ8:AZ12"/>
    <mergeCell ref="AZ13:AZ18"/>
    <mergeCell ref="AZ19:AZ24"/>
    <mergeCell ref="AZ25:AZ26"/>
    <mergeCell ref="AZ27:AZ32"/>
    <mergeCell ref="AZ33:AZ38"/>
    <mergeCell ref="AZ39:AZ44"/>
    <mergeCell ref="AZ45:AZ50"/>
    <mergeCell ref="AZ51:AZ55"/>
    <mergeCell ref="AZ56:AZ58"/>
    <mergeCell ref="AZ59:AZ61"/>
    <mergeCell ref="AZ62:AZ64"/>
    <mergeCell ref="AZ65:AZ67"/>
    <mergeCell ref="AZ68:AZ70"/>
    <mergeCell ref="AZ71:AZ73"/>
    <mergeCell ref="AZ74:AZ76"/>
    <mergeCell ref="AZ77:AZ79"/>
    <mergeCell ref="AZ80:AZ82"/>
    <mergeCell ref="AZ83:AZ85"/>
    <mergeCell ref="AZ86:AZ87"/>
    <mergeCell ref="AZ88:AZ89"/>
    <mergeCell ref="AZ90:AZ92"/>
    <mergeCell ref="AZ93:AZ97"/>
    <mergeCell ref="AZ98:AZ100"/>
    <mergeCell ref="AZ101:AZ103"/>
    <mergeCell ref="AZ104:AZ106"/>
    <mergeCell ref="AZ107:AZ109"/>
    <mergeCell ref="AZ110:AZ112"/>
    <mergeCell ref="AZ113:AZ115"/>
    <mergeCell ref="AZ116:AZ118"/>
    <mergeCell ref="AZ119:AZ120"/>
    <mergeCell ref="AZ121:AZ122"/>
    <mergeCell ref="AZ123:AZ125"/>
    <mergeCell ref="AZ126:AZ128"/>
    <mergeCell ref="AZ129:AZ130"/>
    <mergeCell ref="AZ131:AZ132"/>
    <mergeCell ref="AZ133:AZ135"/>
    <mergeCell ref="AZ136:AZ138"/>
    <mergeCell ref="BA3:BA7"/>
    <mergeCell ref="BA8:BA12"/>
    <mergeCell ref="BA13:BA18"/>
    <mergeCell ref="BA19:BA24"/>
    <mergeCell ref="BA25:BA26"/>
    <mergeCell ref="BA27:BA32"/>
    <mergeCell ref="BA33:BA38"/>
    <mergeCell ref="BA39:BA44"/>
    <mergeCell ref="BA45:BA50"/>
    <mergeCell ref="BA51:BA55"/>
    <mergeCell ref="BA56:BA61"/>
    <mergeCell ref="BA62:BA67"/>
    <mergeCell ref="BA68:BA73"/>
    <mergeCell ref="BA74:BA79"/>
    <mergeCell ref="BA80:BA85"/>
    <mergeCell ref="BA86:BA89"/>
    <mergeCell ref="BA90:BA92"/>
    <mergeCell ref="BA93:BA97"/>
    <mergeCell ref="BA98:BA103"/>
    <mergeCell ref="BA104:BA109"/>
    <mergeCell ref="BA110:BA115"/>
    <mergeCell ref="BA116:BA120"/>
    <mergeCell ref="BA121:BA122"/>
    <mergeCell ref="BA123:BA125"/>
    <mergeCell ref="BA126:BA128"/>
    <mergeCell ref="BA129:BA132"/>
    <mergeCell ref="BA133:BA138"/>
    <mergeCell ref="BB3:BB7"/>
    <mergeCell ref="BB8:BB12"/>
    <mergeCell ref="BB13:BB18"/>
    <mergeCell ref="BB19:BB24"/>
    <mergeCell ref="BB25:BB26"/>
    <mergeCell ref="BB27:BB32"/>
    <mergeCell ref="BB33:BB38"/>
    <mergeCell ref="BB39:BB44"/>
    <mergeCell ref="BB45:BB50"/>
    <mergeCell ref="BB51:BB55"/>
    <mergeCell ref="BB56:BB61"/>
    <mergeCell ref="BB62:BB67"/>
    <mergeCell ref="BB68:BB73"/>
    <mergeCell ref="BB74:BB79"/>
    <mergeCell ref="BB80:BB85"/>
    <mergeCell ref="BB86:BB89"/>
    <mergeCell ref="BB90:BB92"/>
    <mergeCell ref="BB93:BB97"/>
    <mergeCell ref="BB98:BB103"/>
    <mergeCell ref="BB104:BB109"/>
    <mergeCell ref="BB110:BB115"/>
    <mergeCell ref="BB116:BB120"/>
    <mergeCell ref="BB121:BB122"/>
    <mergeCell ref="BB123:BB125"/>
    <mergeCell ref="BB126:BB128"/>
    <mergeCell ref="BB129:BB132"/>
    <mergeCell ref="BB133:BB138"/>
    <mergeCell ref="BC3:BC7"/>
    <mergeCell ref="BC8:BC12"/>
    <mergeCell ref="BC13:BC18"/>
    <mergeCell ref="BC19:BC24"/>
    <mergeCell ref="BC25:BC26"/>
    <mergeCell ref="BC27:BC32"/>
    <mergeCell ref="BC33:BC38"/>
    <mergeCell ref="BC39:BC44"/>
    <mergeCell ref="BC45:BC50"/>
    <mergeCell ref="BC51:BC55"/>
    <mergeCell ref="BC56:BC58"/>
    <mergeCell ref="BC59:BC61"/>
    <mergeCell ref="BC62:BC64"/>
    <mergeCell ref="BC65:BC67"/>
    <mergeCell ref="BC68:BC70"/>
    <mergeCell ref="BC71:BC73"/>
    <mergeCell ref="BC74:BC76"/>
    <mergeCell ref="BC77:BC79"/>
    <mergeCell ref="BC80:BC82"/>
    <mergeCell ref="BC83:BC85"/>
    <mergeCell ref="BC86:BC87"/>
    <mergeCell ref="BC88:BC89"/>
    <mergeCell ref="BC90:BC92"/>
    <mergeCell ref="BC93:BC97"/>
    <mergeCell ref="BC98:BC100"/>
    <mergeCell ref="BC101:BC103"/>
    <mergeCell ref="BC104:BC106"/>
    <mergeCell ref="BC107:BC109"/>
    <mergeCell ref="BC110:BC112"/>
    <mergeCell ref="BC113:BC115"/>
    <mergeCell ref="BC116:BC118"/>
    <mergeCell ref="BC119:BC120"/>
    <mergeCell ref="BC121:BC122"/>
    <mergeCell ref="BC123:BC125"/>
    <mergeCell ref="BC126:BC128"/>
    <mergeCell ref="BC129:BC130"/>
    <mergeCell ref="BC131:BC132"/>
    <mergeCell ref="BC133:BC135"/>
    <mergeCell ref="BC136:BC138"/>
    <mergeCell ref="BD3:BD7"/>
    <mergeCell ref="BD8:BD12"/>
    <mergeCell ref="BD13:BD18"/>
    <mergeCell ref="BD19:BD24"/>
    <mergeCell ref="BD25:BD26"/>
    <mergeCell ref="BD27:BD32"/>
    <mergeCell ref="BD33:BD38"/>
    <mergeCell ref="BD39:BD44"/>
    <mergeCell ref="BD45:BD50"/>
    <mergeCell ref="BD51:BD55"/>
    <mergeCell ref="BD56:BD58"/>
    <mergeCell ref="BD59:BD61"/>
    <mergeCell ref="BD62:BD64"/>
    <mergeCell ref="BD65:BD67"/>
    <mergeCell ref="BD68:BD70"/>
    <mergeCell ref="BD71:BD73"/>
    <mergeCell ref="BD74:BD76"/>
    <mergeCell ref="BD77:BD79"/>
    <mergeCell ref="BD80:BD82"/>
    <mergeCell ref="BD83:BD85"/>
    <mergeCell ref="BD86:BD87"/>
    <mergeCell ref="BD88:BD89"/>
    <mergeCell ref="BD90:BD92"/>
    <mergeCell ref="BD93:BD97"/>
    <mergeCell ref="BD98:BD100"/>
    <mergeCell ref="BD101:BD103"/>
    <mergeCell ref="BD104:BD106"/>
    <mergeCell ref="BD107:BD109"/>
    <mergeCell ref="BD110:BD112"/>
    <mergeCell ref="BD113:BD115"/>
    <mergeCell ref="BD116:BD118"/>
    <mergeCell ref="BD119:BD120"/>
    <mergeCell ref="BD121:BD122"/>
    <mergeCell ref="BD123:BD125"/>
    <mergeCell ref="BD126:BD128"/>
    <mergeCell ref="BD129:BD130"/>
    <mergeCell ref="BD131:BD132"/>
    <mergeCell ref="BD133:BD135"/>
    <mergeCell ref="BD136:BD138"/>
    <mergeCell ref="BE3:BE7"/>
    <mergeCell ref="BE8:BE12"/>
    <mergeCell ref="BE13:BE18"/>
    <mergeCell ref="BE19:BE24"/>
    <mergeCell ref="BE25:BE26"/>
    <mergeCell ref="BE27:BE32"/>
    <mergeCell ref="BE33:BE38"/>
    <mergeCell ref="BE39:BE44"/>
    <mergeCell ref="BE45:BE50"/>
    <mergeCell ref="BE51:BE55"/>
    <mergeCell ref="BE56:BE61"/>
    <mergeCell ref="BE62:BE67"/>
    <mergeCell ref="BE68:BE73"/>
    <mergeCell ref="BE74:BE79"/>
    <mergeCell ref="BE80:BE85"/>
    <mergeCell ref="BE86:BE89"/>
    <mergeCell ref="BE90:BE92"/>
    <mergeCell ref="BE93:BE97"/>
    <mergeCell ref="BE98:BE103"/>
    <mergeCell ref="BE104:BE109"/>
    <mergeCell ref="BE110:BE115"/>
    <mergeCell ref="BE116:BE120"/>
    <mergeCell ref="BE121:BE122"/>
    <mergeCell ref="BE123:BE125"/>
    <mergeCell ref="BE126:BE128"/>
    <mergeCell ref="BE129:BE132"/>
    <mergeCell ref="BE133:BE138"/>
    <mergeCell ref="BF3:BF7"/>
    <mergeCell ref="BF8:BF12"/>
    <mergeCell ref="BF13:BF18"/>
    <mergeCell ref="BF19:BF24"/>
    <mergeCell ref="BF25:BF26"/>
    <mergeCell ref="BF27:BF32"/>
    <mergeCell ref="BF33:BF38"/>
    <mergeCell ref="BF39:BF44"/>
    <mergeCell ref="BF45:BF50"/>
    <mergeCell ref="BF51:BF55"/>
    <mergeCell ref="BF56:BF61"/>
    <mergeCell ref="BF62:BF67"/>
    <mergeCell ref="BF68:BF73"/>
    <mergeCell ref="BF74:BF79"/>
    <mergeCell ref="BF80:BF85"/>
    <mergeCell ref="BF86:BF89"/>
    <mergeCell ref="BF90:BF92"/>
    <mergeCell ref="BF93:BF97"/>
    <mergeCell ref="BF98:BF103"/>
    <mergeCell ref="BF104:BF109"/>
    <mergeCell ref="BF110:BF115"/>
    <mergeCell ref="BF116:BF120"/>
    <mergeCell ref="BF121:BF122"/>
    <mergeCell ref="BF123:BF125"/>
    <mergeCell ref="BF126:BF128"/>
    <mergeCell ref="BF129:BF132"/>
    <mergeCell ref="BF133:BF138"/>
    <mergeCell ref="BG3:BG7"/>
    <mergeCell ref="BG8:BG12"/>
    <mergeCell ref="BG13:BG18"/>
    <mergeCell ref="BG19:BG24"/>
    <mergeCell ref="BG25:BG26"/>
    <mergeCell ref="BG27:BG32"/>
    <mergeCell ref="BG33:BG38"/>
    <mergeCell ref="BG39:BG44"/>
    <mergeCell ref="BG45:BG50"/>
    <mergeCell ref="BG51:BG55"/>
    <mergeCell ref="BG56:BG58"/>
    <mergeCell ref="BG59:BG61"/>
    <mergeCell ref="BG62:BG64"/>
    <mergeCell ref="BG65:BG67"/>
    <mergeCell ref="BG68:BG70"/>
    <mergeCell ref="BG71:BG73"/>
    <mergeCell ref="BG74:BG76"/>
    <mergeCell ref="BG77:BG79"/>
    <mergeCell ref="BG80:BG82"/>
    <mergeCell ref="BG83:BG85"/>
    <mergeCell ref="BG86:BG87"/>
    <mergeCell ref="BG88:BG89"/>
    <mergeCell ref="BG90:BG92"/>
    <mergeCell ref="BG93:BG97"/>
    <mergeCell ref="BG98:BG100"/>
    <mergeCell ref="BG101:BG103"/>
    <mergeCell ref="BG104:BG106"/>
    <mergeCell ref="BG107:BG109"/>
    <mergeCell ref="BG110:BG112"/>
    <mergeCell ref="BG113:BG115"/>
    <mergeCell ref="BG116:BG118"/>
    <mergeCell ref="BG119:BG120"/>
    <mergeCell ref="BG121:BG122"/>
    <mergeCell ref="BG123:BG125"/>
    <mergeCell ref="BG126:BG128"/>
    <mergeCell ref="BG129:BG130"/>
    <mergeCell ref="BG131:BG132"/>
    <mergeCell ref="BG133:BG135"/>
    <mergeCell ref="BG136:BG138"/>
    <mergeCell ref="BH3:BH7"/>
    <mergeCell ref="BH8:BH12"/>
    <mergeCell ref="BH13:BH18"/>
    <mergeCell ref="BH19:BH24"/>
    <mergeCell ref="BH25:BH26"/>
    <mergeCell ref="BH27:BH32"/>
    <mergeCell ref="BH33:BH38"/>
    <mergeCell ref="BH39:BH44"/>
    <mergeCell ref="BH45:BH50"/>
    <mergeCell ref="BH51:BH55"/>
    <mergeCell ref="BH56:BH58"/>
    <mergeCell ref="BH59:BH61"/>
    <mergeCell ref="BH62:BH64"/>
    <mergeCell ref="BH65:BH67"/>
    <mergeCell ref="BH68:BH70"/>
    <mergeCell ref="BH71:BH73"/>
    <mergeCell ref="BH74:BH76"/>
    <mergeCell ref="BH77:BH79"/>
    <mergeCell ref="BH80:BH82"/>
    <mergeCell ref="BH83:BH85"/>
    <mergeCell ref="BH86:BH87"/>
    <mergeCell ref="BH88:BH89"/>
    <mergeCell ref="BH90:BH92"/>
    <mergeCell ref="BH93:BH97"/>
    <mergeCell ref="BH98:BH100"/>
    <mergeCell ref="BH101:BH103"/>
    <mergeCell ref="BH104:BH106"/>
    <mergeCell ref="BH107:BH109"/>
    <mergeCell ref="BH110:BH112"/>
    <mergeCell ref="BH113:BH115"/>
    <mergeCell ref="BH116:BH118"/>
    <mergeCell ref="BH119:BH120"/>
    <mergeCell ref="BH121:BH122"/>
    <mergeCell ref="BH123:BH125"/>
    <mergeCell ref="BH126:BH128"/>
    <mergeCell ref="BH129:BH130"/>
    <mergeCell ref="BH131:BH132"/>
    <mergeCell ref="BH133:BH135"/>
    <mergeCell ref="BH136:BH138"/>
    <mergeCell ref="BI3:BI7"/>
    <mergeCell ref="BI8:BI12"/>
    <mergeCell ref="BI13:BI18"/>
    <mergeCell ref="BI19:BI24"/>
    <mergeCell ref="BI25:BI26"/>
    <mergeCell ref="BI27:BI32"/>
    <mergeCell ref="BI33:BI38"/>
    <mergeCell ref="BI39:BI44"/>
    <mergeCell ref="BI45:BI50"/>
    <mergeCell ref="BI51:BI55"/>
    <mergeCell ref="BI56:BI61"/>
    <mergeCell ref="BI62:BI67"/>
    <mergeCell ref="BI68:BI73"/>
    <mergeCell ref="BI74:BI79"/>
    <mergeCell ref="BI80:BI85"/>
    <mergeCell ref="BI86:BI89"/>
    <mergeCell ref="BI90:BI92"/>
    <mergeCell ref="BI93:BI97"/>
    <mergeCell ref="BI98:BI103"/>
    <mergeCell ref="BI104:BI109"/>
    <mergeCell ref="BI110:BI115"/>
    <mergeCell ref="BI116:BI120"/>
    <mergeCell ref="BI121:BI122"/>
    <mergeCell ref="BI123:BI125"/>
    <mergeCell ref="BI126:BI128"/>
    <mergeCell ref="BI129:BI132"/>
    <mergeCell ref="BI133:BI138"/>
    <mergeCell ref="BJ3:BJ7"/>
    <mergeCell ref="BJ8:BJ12"/>
    <mergeCell ref="BJ13:BJ18"/>
    <mergeCell ref="BJ19:BJ24"/>
    <mergeCell ref="BJ25:BJ26"/>
    <mergeCell ref="BJ27:BJ32"/>
    <mergeCell ref="BJ33:BJ38"/>
    <mergeCell ref="BJ39:BJ44"/>
    <mergeCell ref="BJ45:BJ50"/>
    <mergeCell ref="BJ51:BJ55"/>
    <mergeCell ref="BJ56:BJ61"/>
    <mergeCell ref="BJ62:BJ67"/>
    <mergeCell ref="BJ68:BJ73"/>
    <mergeCell ref="BJ74:BJ79"/>
    <mergeCell ref="BJ80:BJ85"/>
    <mergeCell ref="BJ86:BJ89"/>
    <mergeCell ref="BJ90:BJ92"/>
    <mergeCell ref="BJ93:BJ97"/>
    <mergeCell ref="BJ98:BJ103"/>
    <mergeCell ref="BJ104:BJ109"/>
    <mergeCell ref="BJ110:BJ115"/>
    <mergeCell ref="BJ116:BJ120"/>
    <mergeCell ref="BJ121:BJ122"/>
    <mergeCell ref="BJ123:BJ125"/>
    <mergeCell ref="BJ126:BJ128"/>
    <mergeCell ref="BJ129:BJ132"/>
    <mergeCell ref="BJ133:BJ138"/>
    <mergeCell ref="BK3:BK7"/>
    <mergeCell ref="BK8:BK12"/>
    <mergeCell ref="BK13:BK18"/>
    <mergeCell ref="BK19:BK24"/>
    <mergeCell ref="BK25:BK26"/>
    <mergeCell ref="BK27:BK32"/>
    <mergeCell ref="BK33:BK38"/>
    <mergeCell ref="BK39:BK44"/>
    <mergeCell ref="BK45:BK50"/>
    <mergeCell ref="BK51:BK55"/>
    <mergeCell ref="BK56:BK58"/>
    <mergeCell ref="BK59:BK61"/>
    <mergeCell ref="BK62:BK64"/>
    <mergeCell ref="BK65:BK67"/>
    <mergeCell ref="BK68:BK70"/>
    <mergeCell ref="BK71:BK73"/>
    <mergeCell ref="BK74:BK76"/>
    <mergeCell ref="BK77:BK79"/>
    <mergeCell ref="BK80:BK82"/>
    <mergeCell ref="BK83:BK85"/>
    <mergeCell ref="BK86:BK87"/>
    <mergeCell ref="BK88:BK89"/>
    <mergeCell ref="BK90:BK92"/>
    <mergeCell ref="BK93:BK97"/>
    <mergeCell ref="BK98:BK100"/>
    <mergeCell ref="BK101:BK103"/>
    <mergeCell ref="BK104:BK106"/>
    <mergeCell ref="BK107:BK109"/>
    <mergeCell ref="BK110:BK112"/>
    <mergeCell ref="BK113:BK115"/>
    <mergeCell ref="BK116:BK118"/>
    <mergeCell ref="BK119:BK120"/>
    <mergeCell ref="BK121:BK122"/>
    <mergeCell ref="BK123:BK125"/>
    <mergeCell ref="BK126:BK128"/>
    <mergeCell ref="BK129:BK130"/>
    <mergeCell ref="BK131:BK132"/>
    <mergeCell ref="BK133:BK135"/>
    <mergeCell ref="BK136:BK138"/>
    <mergeCell ref="BL3:BL7"/>
    <mergeCell ref="BL8:BL12"/>
    <mergeCell ref="BL13:BL18"/>
    <mergeCell ref="BL19:BL24"/>
    <mergeCell ref="BL25:BL26"/>
    <mergeCell ref="BL27:BL32"/>
    <mergeCell ref="BL33:BL38"/>
    <mergeCell ref="BL39:BL44"/>
    <mergeCell ref="BL45:BL50"/>
    <mergeCell ref="BL51:BL55"/>
    <mergeCell ref="BL56:BL58"/>
    <mergeCell ref="BL59:BL61"/>
    <mergeCell ref="BL62:BL64"/>
    <mergeCell ref="BL65:BL67"/>
    <mergeCell ref="BL68:BL70"/>
    <mergeCell ref="BL71:BL73"/>
    <mergeCell ref="BL74:BL76"/>
    <mergeCell ref="BL77:BL79"/>
    <mergeCell ref="BL80:BL82"/>
    <mergeCell ref="BL83:BL85"/>
    <mergeCell ref="BL86:BL87"/>
    <mergeCell ref="BL88:BL89"/>
    <mergeCell ref="BL90:BL92"/>
    <mergeCell ref="BL93:BL97"/>
    <mergeCell ref="BL98:BL100"/>
    <mergeCell ref="BL101:BL103"/>
    <mergeCell ref="BL104:BL106"/>
    <mergeCell ref="BL107:BL109"/>
    <mergeCell ref="BL110:BL112"/>
    <mergeCell ref="BL113:BL115"/>
    <mergeCell ref="BL116:BL118"/>
    <mergeCell ref="BL119:BL120"/>
    <mergeCell ref="BL121:BL122"/>
    <mergeCell ref="BL123:BL125"/>
    <mergeCell ref="BL126:BL128"/>
    <mergeCell ref="BL129:BL130"/>
    <mergeCell ref="BL131:BL132"/>
    <mergeCell ref="BL133:BL135"/>
    <mergeCell ref="BL136:BL138"/>
    <mergeCell ref="BM3:BM7"/>
    <mergeCell ref="BM8:BM12"/>
    <mergeCell ref="BM13:BM18"/>
    <mergeCell ref="BM19:BM24"/>
    <mergeCell ref="BM25:BM26"/>
    <mergeCell ref="BM27:BM32"/>
    <mergeCell ref="BM33:BM38"/>
    <mergeCell ref="BM39:BM44"/>
    <mergeCell ref="BM45:BM50"/>
    <mergeCell ref="BM51:BM55"/>
    <mergeCell ref="BM56:BM61"/>
    <mergeCell ref="BM62:BM67"/>
    <mergeCell ref="BM68:BM73"/>
    <mergeCell ref="BM74:BM79"/>
    <mergeCell ref="BM80:BM85"/>
    <mergeCell ref="BM86:BM89"/>
    <mergeCell ref="BM90:BM92"/>
    <mergeCell ref="BM93:BM97"/>
    <mergeCell ref="BM98:BM103"/>
    <mergeCell ref="BM104:BM109"/>
    <mergeCell ref="BM110:BM115"/>
    <mergeCell ref="BM116:BM120"/>
    <mergeCell ref="BM121:BM122"/>
    <mergeCell ref="BM123:BM125"/>
    <mergeCell ref="BM126:BM128"/>
    <mergeCell ref="BM129:BM132"/>
    <mergeCell ref="BM133:BM138"/>
    <mergeCell ref="BN3:BN7"/>
    <mergeCell ref="BN8:BN12"/>
    <mergeCell ref="BN13:BN18"/>
    <mergeCell ref="BN19:BN24"/>
    <mergeCell ref="BN25:BN26"/>
    <mergeCell ref="BN27:BN32"/>
    <mergeCell ref="BN33:BN38"/>
    <mergeCell ref="BN39:BN44"/>
    <mergeCell ref="BN45:BN50"/>
    <mergeCell ref="BN51:BN55"/>
    <mergeCell ref="BN56:BN61"/>
    <mergeCell ref="BN62:BN67"/>
    <mergeCell ref="BN68:BN73"/>
    <mergeCell ref="BN74:BN79"/>
    <mergeCell ref="BN80:BN85"/>
    <mergeCell ref="BN86:BN89"/>
    <mergeCell ref="BN90:BN92"/>
    <mergeCell ref="BN93:BN97"/>
    <mergeCell ref="BN98:BN103"/>
    <mergeCell ref="BN104:BN109"/>
    <mergeCell ref="BN110:BN115"/>
    <mergeCell ref="BN116:BN120"/>
    <mergeCell ref="BN121:BN122"/>
    <mergeCell ref="BN123:BN125"/>
    <mergeCell ref="BN126:BN128"/>
    <mergeCell ref="BN129:BN132"/>
    <mergeCell ref="BN133:BN138"/>
    <mergeCell ref="BO3:BO7"/>
    <mergeCell ref="BO8:BO12"/>
    <mergeCell ref="BO13:BO18"/>
    <mergeCell ref="BO19:BO24"/>
    <mergeCell ref="BO25:BO26"/>
    <mergeCell ref="BO27:BO32"/>
    <mergeCell ref="BO33:BO38"/>
    <mergeCell ref="BO39:BO44"/>
    <mergeCell ref="BO45:BO50"/>
    <mergeCell ref="BO51:BO55"/>
    <mergeCell ref="BO56:BO58"/>
    <mergeCell ref="BO59:BO61"/>
    <mergeCell ref="BO62:BO64"/>
    <mergeCell ref="BO65:BO67"/>
    <mergeCell ref="BO68:BO70"/>
    <mergeCell ref="BO71:BO73"/>
    <mergeCell ref="BO74:BO76"/>
    <mergeCell ref="BO77:BO79"/>
    <mergeCell ref="BO80:BO82"/>
    <mergeCell ref="BO83:BO85"/>
    <mergeCell ref="BO86:BO87"/>
    <mergeCell ref="BO88:BO89"/>
    <mergeCell ref="BO90:BO92"/>
    <mergeCell ref="BO93:BO97"/>
    <mergeCell ref="BO98:BO100"/>
    <mergeCell ref="BO101:BO103"/>
    <mergeCell ref="BO104:BO106"/>
    <mergeCell ref="BO107:BO109"/>
    <mergeCell ref="BO110:BO112"/>
    <mergeCell ref="BO113:BO115"/>
    <mergeCell ref="BO116:BO118"/>
    <mergeCell ref="BO119:BO120"/>
    <mergeCell ref="BO121:BO122"/>
    <mergeCell ref="BO123:BO125"/>
    <mergeCell ref="BO126:BO128"/>
    <mergeCell ref="BO129:BO130"/>
    <mergeCell ref="BO131:BO132"/>
    <mergeCell ref="BO133:BO135"/>
    <mergeCell ref="BO136:BO138"/>
    <mergeCell ref="BP3:BP7"/>
    <mergeCell ref="BP8:BP12"/>
    <mergeCell ref="BP13:BP18"/>
    <mergeCell ref="BP19:BP24"/>
    <mergeCell ref="BP25:BP26"/>
    <mergeCell ref="BP27:BP32"/>
    <mergeCell ref="BP33:BP38"/>
    <mergeCell ref="BP39:BP44"/>
    <mergeCell ref="BP45:BP50"/>
    <mergeCell ref="BP51:BP55"/>
    <mergeCell ref="BP56:BP58"/>
    <mergeCell ref="BP59:BP61"/>
    <mergeCell ref="BP62:BP64"/>
    <mergeCell ref="BP65:BP67"/>
    <mergeCell ref="BP68:BP70"/>
    <mergeCell ref="BP71:BP73"/>
    <mergeCell ref="BP74:BP76"/>
    <mergeCell ref="BP77:BP79"/>
    <mergeCell ref="BP80:BP82"/>
    <mergeCell ref="BP83:BP85"/>
    <mergeCell ref="BP86:BP87"/>
    <mergeCell ref="BP88:BP89"/>
    <mergeCell ref="BP90:BP92"/>
    <mergeCell ref="BP93:BP97"/>
    <mergeCell ref="BP98:BP100"/>
    <mergeCell ref="BP101:BP103"/>
    <mergeCell ref="BP104:BP106"/>
    <mergeCell ref="BP107:BP109"/>
    <mergeCell ref="BP110:BP112"/>
    <mergeCell ref="BP113:BP115"/>
    <mergeCell ref="BP116:BP118"/>
    <mergeCell ref="BP119:BP120"/>
    <mergeCell ref="BP121:BP122"/>
    <mergeCell ref="BP123:BP125"/>
    <mergeCell ref="BP126:BP128"/>
    <mergeCell ref="BP129:BP130"/>
    <mergeCell ref="BP131:BP132"/>
    <mergeCell ref="BP133:BP135"/>
    <mergeCell ref="BP136:BP138"/>
    <mergeCell ref="BQ3:BQ7"/>
    <mergeCell ref="BQ8:BQ12"/>
    <mergeCell ref="BQ13:BQ18"/>
    <mergeCell ref="BQ19:BQ24"/>
    <mergeCell ref="BQ25:BQ26"/>
    <mergeCell ref="BQ27:BQ32"/>
    <mergeCell ref="BQ33:BQ38"/>
    <mergeCell ref="BQ39:BQ44"/>
    <mergeCell ref="BQ45:BQ50"/>
    <mergeCell ref="BQ51:BQ55"/>
    <mergeCell ref="BQ56:BQ61"/>
    <mergeCell ref="BQ62:BQ67"/>
    <mergeCell ref="BQ68:BQ73"/>
    <mergeCell ref="BQ74:BQ79"/>
    <mergeCell ref="BQ80:BQ85"/>
    <mergeCell ref="BQ86:BQ89"/>
    <mergeCell ref="BQ90:BQ92"/>
    <mergeCell ref="BQ93:BQ97"/>
    <mergeCell ref="BQ98:BQ103"/>
    <mergeCell ref="BQ104:BQ109"/>
    <mergeCell ref="BQ110:BQ115"/>
    <mergeCell ref="BQ116:BQ120"/>
    <mergeCell ref="BQ121:BQ122"/>
    <mergeCell ref="BQ123:BQ125"/>
    <mergeCell ref="BQ126:BQ128"/>
    <mergeCell ref="BQ129:BQ132"/>
    <mergeCell ref="BQ133:BQ138"/>
    <mergeCell ref="BR3:BR7"/>
    <mergeCell ref="BR8:BR12"/>
    <mergeCell ref="BR13:BR18"/>
    <mergeCell ref="BR19:BR24"/>
    <mergeCell ref="BR25:BR26"/>
    <mergeCell ref="BR27:BR32"/>
    <mergeCell ref="BR33:BR38"/>
    <mergeCell ref="BR39:BR44"/>
    <mergeCell ref="BR45:BR50"/>
    <mergeCell ref="BR51:BR55"/>
    <mergeCell ref="BR56:BR61"/>
    <mergeCell ref="BR62:BR67"/>
    <mergeCell ref="BR68:BR73"/>
    <mergeCell ref="BR74:BR79"/>
    <mergeCell ref="BR80:BR85"/>
    <mergeCell ref="BR86:BR89"/>
    <mergeCell ref="BR90:BR92"/>
    <mergeCell ref="BR93:BR97"/>
    <mergeCell ref="BR98:BR103"/>
    <mergeCell ref="BR104:BR109"/>
    <mergeCell ref="BR110:BR115"/>
    <mergeCell ref="BR116:BR120"/>
    <mergeCell ref="BR121:BR122"/>
    <mergeCell ref="BR123:BR125"/>
    <mergeCell ref="BR126:BR128"/>
    <mergeCell ref="BR129:BR132"/>
    <mergeCell ref="BR133:BR138"/>
    <mergeCell ref="BS3:BS7"/>
    <mergeCell ref="BS8:BS12"/>
    <mergeCell ref="BS13:BS18"/>
    <mergeCell ref="BS19:BS24"/>
    <mergeCell ref="BS25:BS26"/>
    <mergeCell ref="BS27:BS32"/>
    <mergeCell ref="BS33:BS38"/>
    <mergeCell ref="BS39:BS44"/>
    <mergeCell ref="BS45:BS50"/>
    <mergeCell ref="BS51:BS55"/>
    <mergeCell ref="BS56:BS58"/>
    <mergeCell ref="BS59:BS61"/>
    <mergeCell ref="BS62:BS64"/>
    <mergeCell ref="BS65:BS67"/>
    <mergeCell ref="BS68:BS70"/>
    <mergeCell ref="BS71:BS73"/>
    <mergeCell ref="BS74:BS76"/>
    <mergeCell ref="BS77:BS79"/>
    <mergeCell ref="BS80:BS82"/>
    <mergeCell ref="BS83:BS85"/>
    <mergeCell ref="BS86:BS87"/>
    <mergeCell ref="BS88:BS89"/>
    <mergeCell ref="BS90:BS92"/>
    <mergeCell ref="BS93:BS97"/>
    <mergeCell ref="BS98:BS100"/>
    <mergeCell ref="BS101:BS103"/>
    <mergeCell ref="BS104:BS106"/>
    <mergeCell ref="BS107:BS109"/>
    <mergeCell ref="BS110:BS112"/>
    <mergeCell ref="BS113:BS115"/>
    <mergeCell ref="BS116:BS118"/>
    <mergeCell ref="BS119:BS120"/>
    <mergeCell ref="BS121:BS122"/>
    <mergeCell ref="BS123:BS125"/>
    <mergeCell ref="BS126:BS128"/>
    <mergeCell ref="BS129:BS130"/>
    <mergeCell ref="BS131:BS132"/>
    <mergeCell ref="BS133:BS135"/>
    <mergeCell ref="BS136:BS138"/>
    <mergeCell ref="BT3:BT7"/>
    <mergeCell ref="BT8:BT12"/>
    <mergeCell ref="BT13:BT18"/>
    <mergeCell ref="BT19:BT24"/>
    <mergeCell ref="BT25:BT26"/>
    <mergeCell ref="BT27:BT32"/>
    <mergeCell ref="BT33:BT38"/>
    <mergeCell ref="BT39:BT44"/>
    <mergeCell ref="BT45:BT50"/>
    <mergeCell ref="BT51:BT55"/>
    <mergeCell ref="BT56:BT58"/>
    <mergeCell ref="BT59:BT61"/>
    <mergeCell ref="BT62:BT64"/>
    <mergeCell ref="BT65:BT67"/>
    <mergeCell ref="BT68:BT70"/>
    <mergeCell ref="BT71:BT73"/>
    <mergeCell ref="BT74:BT76"/>
    <mergeCell ref="BT77:BT79"/>
    <mergeCell ref="BT80:BT82"/>
    <mergeCell ref="BT83:BT85"/>
    <mergeCell ref="BT86:BT87"/>
    <mergeCell ref="BT88:BT89"/>
    <mergeCell ref="BT90:BT92"/>
    <mergeCell ref="BT93:BT97"/>
    <mergeCell ref="BT98:BT100"/>
    <mergeCell ref="BT101:BT103"/>
    <mergeCell ref="BT104:BT106"/>
    <mergeCell ref="BT107:BT109"/>
    <mergeCell ref="BT110:BT112"/>
    <mergeCell ref="BT113:BT115"/>
    <mergeCell ref="BT116:BT118"/>
    <mergeCell ref="BT119:BT120"/>
    <mergeCell ref="BT121:BT122"/>
    <mergeCell ref="BT123:BT125"/>
    <mergeCell ref="BT126:BT128"/>
    <mergeCell ref="BT129:BT130"/>
    <mergeCell ref="BT131:BT132"/>
    <mergeCell ref="BT133:BT135"/>
    <mergeCell ref="BT136:BT138"/>
    <mergeCell ref="BU3:BU7"/>
    <mergeCell ref="BU8:BU12"/>
    <mergeCell ref="BU13:BU18"/>
    <mergeCell ref="BU19:BU24"/>
    <mergeCell ref="BU25:BU26"/>
    <mergeCell ref="BU27:BU32"/>
    <mergeCell ref="BU33:BU38"/>
    <mergeCell ref="BU39:BU44"/>
    <mergeCell ref="BU45:BU50"/>
    <mergeCell ref="BU51:BU55"/>
    <mergeCell ref="BU56:BU61"/>
    <mergeCell ref="BU62:BU67"/>
    <mergeCell ref="BU68:BU73"/>
    <mergeCell ref="BU74:BU79"/>
    <mergeCell ref="BU80:BU85"/>
    <mergeCell ref="BU86:BU89"/>
    <mergeCell ref="BU90:BU92"/>
    <mergeCell ref="BU93:BU97"/>
    <mergeCell ref="BU98:BU103"/>
    <mergeCell ref="BU104:BU109"/>
    <mergeCell ref="BU110:BU115"/>
    <mergeCell ref="BU116:BU120"/>
    <mergeCell ref="BU121:BU122"/>
    <mergeCell ref="BU123:BU125"/>
    <mergeCell ref="BU126:BU128"/>
    <mergeCell ref="BU129:BU132"/>
    <mergeCell ref="BU133:BU138"/>
    <mergeCell ref="BV3:BV7"/>
    <mergeCell ref="BV8:BV12"/>
    <mergeCell ref="BV13:BV18"/>
    <mergeCell ref="BV19:BV24"/>
    <mergeCell ref="BV25:BV26"/>
    <mergeCell ref="BV27:BV32"/>
    <mergeCell ref="BV33:BV38"/>
    <mergeCell ref="BV39:BV44"/>
    <mergeCell ref="BV45:BV50"/>
    <mergeCell ref="BV51:BV55"/>
    <mergeCell ref="BV56:BV61"/>
    <mergeCell ref="BV62:BV67"/>
    <mergeCell ref="BV68:BV73"/>
    <mergeCell ref="BV74:BV79"/>
    <mergeCell ref="BV80:BV85"/>
    <mergeCell ref="BV86:BV89"/>
    <mergeCell ref="BV90:BV92"/>
    <mergeCell ref="BV93:BV97"/>
    <mergeCell ref="BV98:BV103"/>
    <mergeCell ref="BV104:BV109"/>
    <mergeCell ref="BV110:BV115"/>
    <mergeCell ref="BV116:BV120"/>
    <mergeCell ref="BV121:BV122"/>
    <mergeCell ref="BV123:BV125"/>
    <mergeCell ref="BV126:BV128"/>
    <mergeCell ref="BV129:BV132"/>
    <mergeCell ref="BV133:BV138"/>
    <mergeCell ref="BW3:BW7"/>
    <mergeCell ref="BW8:BW12"/>
    <mergeCell ref="BW13:BW18"/>
    <mergeCell ref="BW19:BW24"/>
    <mergeCell ref="BW25:BW26"/>
    <mergeCell ref="BW27:BW32"/>
    <mergeCell ref="BW33:BW38"/>
    <mergeCell ref="BW39:BW44"/>
    <mergeCell ref="BW45:BW50"/>
    <mergeCell ref="BW51:BW55"/>
    <mergeCell ref="BW56:BW58"/>
    <mergeCell ref="BW59:BW61"/>
    <mergeCell ref="BW62:BW64"/>
    <mergeCell ref="BW65:BW67"/>
    <mergeCell ref="BW68:BW70"/>
    <mergeCell ref="BW71:BW73"/>
    <mergeCell ref="BW74:BW76"/>
    <mergeCell ref="BW77:BW79"/>
    <mergeCell ref="BW80:BW82"/>
    <mergeCell ref="BW83:BW85"/>
    <mergeCell ref="BW86:BW87"/>
    <mergeCell ref="BW88:BW89"/>
    <mergeCell ref="BW90:BW92"/>
    <mergeCell ref="BW93:BW97"/>
    <mergeCell ref="BW98:BW100"/>
    <mergeCell ref="BW101:BW103"/>
    <mergeCell ref="BW104:BW106"/>
    <mergeCell ref="BW107:BW109"/>
    <mergeCell ref="BW110:BW112"/>
    <mergeCell ref="BW113:BW115"/>
    <mergeCell ref="BW116:BW118"/>
    <mergeCell ref="BW119:BW120"/>
    <mergeCell ref="BW121:BW122"/>
    <mergeCell ref="BW123:BW125"/>
    <mergeCell ref="BW126:BW128"/>
    <mergeCell ref="BW129:BW130"/>
    <mergeCell ref="BW131:BW132"/>
    <mergeCell ref="BW133:BW135"/>
    <mergeCell ref="BW136:BW138"/>
    <mergeCell ref="BX3:BX7"/>
    <mergeCell ref="BX8:BX12"/>
    <mergeCell ref="BX13:BX18"/>
    <mergeCell ref="BX19:BX24"/>
    <mergeCell ref="BX25:BX26"/>
    <mergeCell ref="BX27:BX32"/>
    <mergeCell ref="BX33:BX38"/>
    <mergeCell ref="BX39:BX44"/>
    <mergeCell ref="BX45:BX50"/>
    <mergeCell ref="BX51:BX55"/>
    <mergeCell ref="BX56:BX58"/>
    <mergeCell ref="BX59:BX61"/>
    <mergeCell ref="BX62:BX64"/>
    <mergeCell ref="BX65:BX67"/>
    <mergeCell ref="BX68:BX70"/>
    <mergeCell ref="BX71:BX73"/>
    <mergeCell ref="BX74:BX76"/>
    <mergeCell ref="BX77:BX79"/>
    <mergeCell ref="BX80:BX82"/>
    <mergeCell ref="BX83:BX85"/>
    <mergeCell ref="BX86:BX87"/>
    <mergeCell ref="BX88:BX89"/>
    <mergeCell ref="BX90:BX92"/>
    <mergeCell ref="BX93:BX97"/>
    <mergeCell ref="BX98:BX100"/>
    <mergeCell ref="BX101:BX103"/>
    <mergeCell ref="BX104:BX106"/>
    <mergeCell ref="BX107:BX109"/>
    <mergeCell ref="BX110:BX112"/>
    <mergeCell ref="BX113:BX115"/>
    <mergeCell ref="BX116:BX118"/>
    <mergeCell ref="BX119:BX120"/>
    <mergeCell ref="BX121:BX122"/>
    <mergeCell ref="BX123:BX125"/>
    <mergeCell ref="BX126:BX128"/>
    <mergeCell ref="BX129:BX130"/>
    <mergeCell ref="BX131:BX132"/>
    <mergeCell ref="BX133:BX135"/>
    <mergeCell ref="BX136:BX138"/>
    <mergeCell ref="BY3:BY7"/>
    <mergeCell ref="BY8:BY12"/>
    <mergeCell ref="BY13:BY18"/>
    <mergeCell ref="BY19:BY24"/>
    <mergeCell ref="BY25:BY26"/>
    <mergeCell ref="BY27:BY32"/>
    <mergeCell ref="BY33:BY38"/>
    <mergeCell ref="BY39:BY44"/>
    <mergeCell ref="BY45:BY50"/>
    <mergeCell ref="BY51:BY55"/>
    <mergeCell ref="BY56:BY61"/>
    <mergeCell ref="BY62:BY67"/>
    <mergeCell ref="BY68:BY73"/>
    <mergeCell ref="BY74:BY79"/>
    <mergeCell ref="BY80:BY85"/>
    <mergeCell ref="BY86:BY89"/>
    <mergeCell ref="BY90:BY92"/>
    <mergeCell ref="BY93:BY97"/>
    <mergeCell ref="BY98:BY103"/>
    <mergeCell ref="BY104:BY109"/>
    <mergeCell ref="BY110:BY115"/>
    <mergeCell ref="BY116:BY120"/>
    <mergeCell ref="BY121:BY122"/>
    <mergeCell ref="BY123:BY125"/>
    <mergeCell ref="BY126:BY128"/>
    <mergeCell ref="BY129:BY132"/>
    <mergeCell ref="BY133:BY138"/>
    <mergeCell ref="BZ3:BZ7"/>
    <mergeCell ref="BZ8:BZ12"/>
    <mergeCell ref="BZ13:BZ18"/>
    <mergeCell ref="BZ19:BZ24"/>
    <mergeCell ref="BZ25:BZ26"/>
    <mergeCell ref="BZ27:BZ32"/>
    <mergeCell ref="BZ33:BZ38"/>
    <mergeCell ref="BZ39:BZ44"/>
    <mergeCell ref="BZ45:BZ50"/>
    <mergeCell ref="BZ51:BZ55"/>
    <mergeCell ref="BZ56:BZ61"/>
    <mergeCell ref="BZ62:BZ67"/>
    <mergeCell ref="BZ68:BZ73"/>
    <mergeCell ref="BZ74:BZ79"/>
    <mergeCell ref="BZ80:BZ85"/>
    <mergeCell ref="BZ86:BZ89"/>
    <mergeCell ref="BZ90:BZ92"/>
    <mergeCell ref="BZ93:BZ97"/>
    <mergeCell ref="BZ98:BZ103"/>
    <mergeCell ref="BZ104:BZ109"/>
    <mergeCell ref="BZ110:BZ115"/>
    <mergeCell ref="BZ116:BZ120"/>
    <mergeCell ref="BZ121:BZ122"/>
    <mergeCell ref="BZ123:BZ125"/>
    <mergeCell ref="BZ126:BZ128"/>
    <mergeCell ref="BZ129:BZ132"/>
    <mergeCell ref="BZ133:BZ138"/>
    <mergeCell ref="CA3:CA7"/>
    <mergeCell ref="CA8:CA12"/>
    <mergeCell ref="CA13:CA18"/>
    <mergeCell ref="CA19:CA24"/>
    <mergeCell ref="CA25:CA26"/>
    <mergeCell ref="CA27:CA32"/>
    <mergeCell ref="CA33:CA38"/>
    <mergeCell ref="CA39:CA44"/>
    <mergeCell ref="CA45:CA50"/>
    <mergeCell ref="CA51:CA55"/>
    <mergeCell ref="CA56:CA58"/>
    <mergeCell ref="CA59:CA61"/>
    <mergeCell ref="CA62:CA64"/>
    <mergeCell ref="CA65:CA67"/>
    <mergeCell ref="CA68:CA70"/>
    <mergeCell ref="CA71:CA73"/>
    <mergeCell ref="CA74:CA76"/>
    <mergeCell ref="CA77:CA79"/>
    <mergeCell ref="CA80:CA82"/>
    <mergeCell ref="CA83:CA85"/>
    <mergeCell ref="CA86:CA87"/>
    <mergeCell ref="CA88:CA89"/>
    <mergeCell ref="CA90:CA92"/>
    <mergeCell ref="CA93:CA97"/>
    <mergeCell ref="CA98:CA100"/>
    <mergeCell ref="CA101:CA103"/>
    <mergeCell ref="CA104:CA106"/>
    <mergeCell ref="CA107:CA109"/>
    <mergeCell ref="CA110:CA112"/>
    <mergeCell ref="CA113:CA115"/>
    <mergeCell ref="CA116:CA118"/>
    <mergeCell ref="CA119:CA120"/>
    <mergeCell ref="CA121:CA122"/>
    <mergeCell ref="CA123:CA125"/>
    <mergeCell ref="CA126:CA128"/>
    <mergeCell ref="CA129:CA130"/>
    <mergeCell ref="CA131:CA132"/>
    <mergeCell ref="CA133:CA135"/>
    <mergeCell ref="CA136:CA138"/>
    <mergeCell ref="CB3:CB7"/>
    <mergeCell ref="CB8:CB12"/>
    <mergeCell ref="CB13:CB18"/>
    <mergeCell ref="CB19:CB24"/>
    <mergeCell ref="CB25:CB26"/>
    <mergeCell ref="CB27:CB32"/>
    <mergeCell ref="CB33:CB38"/>
    <mergeCell ref="CB39:CB44"/>
    <mergeCell ref="CB45:CB50"/>
    <mergeCell ref="CB51:CB55"/>
    <mergeCell ref="CB56:CB58"/>
    <mergeCell ref="CB59:CB61"/>
    <mergeCell ref="CB62:CB64"/>
    <mergeCell ref="CB65:CB67"/>
    <mergeCell ref="CB68:CB70"/>
    <mergeCell ref="CB71:CB73"/>
    <mergeCell ref="CB74:CB76"/>
    <mergeCell ref="CB77:CB79"/>
    <mergeCell ref="CB80:CB82"/>
    <mergeCell ref="CB83:CB85"/>
    <mergeCell ref="CB86:CB87"/>
    <mergeCell ref="CB88:CB89"/>
    <mergeCell ref="CB90:CB92"/>
    <mergeCell ref="CB93:CB97"/>
    <mergeCell ref="CB98:CB100"/>
    <mergeCell ref="CB101:CB103"/>
    <mergeCell ref="CB104:CB106"/>
    <mergeCell ref="CB107:CB109"/>
    <mergeCell ref="CB110:CB112"/>
    <mergeCell ref="CB113:CB115"/>
    <mergeCell ref="CB116:CB118"/>
    <mergeCell ref="CB119:CB120"/>
    <mergeCell ref="CB121:CB122"/>
    <mergeCell ref="CB123:CB125"/>
    <mergeCell ref="CB126:CB128"/>
    <mergeCell ref="CB129:CB130"/>
    <mergeCell ref="CB131:CB132"/>
    <mergeCell ref="CB133:CB135"/>
    <mergeCell ref="CB136:CB138"/>
    <mergeCell ref="CC3:CC7"/>
    <mergeCell ref="CC8:CC12"/>
    <mergeCell ref="CC13:CC18"/>
    <mergeCell ref="CC19:CC24"/>
    <mergeCell ref="CC25:CC26"/>
    <mergeCell ref="CC27:CC32"/>
    <mergeCell ref="CC33:CC38"/>
    <mergeCell ref="CC39:CC44"/>
    <mergeCell ref="CC45:CC50"/>
    <mergeCell ref="CC51:CC55"/>
    <mergeCell ref="CC56:CC61"/>
    <mergeCell ref="CC62:CC67"/>
    <mergeCell ref="CC68:CC73"/>
    <mergeCell ref="CC74:CC79"/>
    <mergeCell ref="CC80:CC85"/>
    <mergeCell ref="CC86:CC89"/>
    <mergeCell ref="CC90:CC92"/>
    <mergeCell ref="CC93:CC97"/>
    <mergeCell ref="CC98:CC103"/>
    <mergeCell ref="CC104:CC109"/>
    <mergeCell ref="CC110:CC115"/>
    <mergeCell ref="CC116:CC120"/>
    <mergeCell ref="CC121:CC122"/>
    <mergeCell ref="CC123:CC125"/>
    <mergeCell ref="CC126:CC128"/>
    <mergeCell ref="CC129:CC132"/>
    <mergeCell ref="CC133:CC138"/>
    <mergeCell ref="CD3:CD7"/>
    <mergeCell ref="CD8:CD12"/>
    <mergeCell ref="CD13:CD18"/>
    <mergeCell ref="CD19:CD24"/>
    <mergeCell ref="CD25:CD26"/>
    <mergeCell ref="CD27:CD32"/>
    <mergeCell ref="CD33:CD38"/>
    <mergeCell ref="CD39:CD44"/>
    <mergeCell ref="CD45:CD50"/>
    <mergeCell ref="CD51:CD55"/>
    <mergeCell ref="CD56:CD61"/>
    <mergeCell ref="CD62:CD67"/>
    <mergeCell ref="CD68:CD73"/>
    <mergeCell ref="CD74:CD79"/>
    <mergeCell ref="CD80:CD85"/>
    <mergeCell ref="CD86:CD89"/>
    <mergeCell ref="CD90:CD92"/>
    <mergeCell ref="CD93:CD97"/>
    <mergeCell ref="CD98:CD103"/>
    <mergeCell ref="CD104:CD109"/>
    <mergeCell ref="CD110:CD115"/>
    <mergeCell ref="CD116:CD120"/>
    <mergeCell ref="CD121:CD122"/>
    <mergeCell ref="CD123:CD125"/>
    <mergeCell ref="CD126:CD128"/>
    <mergeCell ref="CD129:CD132"/>
    <mergeCell ref="CD133:CD138"/>
    <mergeCell ref="CE3:CE7"/>
    <mergeCell ref="CE8:CE12"/>
    <mergeCell ref="CE13:CE18"/>
    <mergeCell ref="CE19:CE24"/>
    <mergeCell ref="CE25:CE26"/>
    <mergeCell ref="CE27:CE32"/>
    <mergeCell ref="CE33:CE38"/>
    <mergeCell ref="CE39:CE44"/>
    <mergeCell ref="CE45:CE50"/>
    <mergeCell ref="CE51:CE55"/>
    <mergeCell ref="CE56:CE58"/>
    <mergeCell ref="CE59:CE61"/>
    <mergeCell ref="CE62:CE64"/>
    <mergeCell ref="CE65:CE67"/>
    <mergeCell ref="CE68:CE70"/>
    <mergeCell ref="CE71:CE73"/>
    <mergeCell ref="CE74:CE76"/>
    <mergeCell ref="CE77:CE79"/>
    <mergeCell ref="CE80:CE82"/>
    <mergeCell ref="CE83:CE85"/>
    <mergeCell ref="CE86:CE87"/>
    <mergeCell ref="CE88:CE89"/>
    <mergeCell ref="CE90:CE92"/>
    <mergeCell ref="CE93:CE97"/>
    <mergeCell ref="CE98:CE100"/>
    <mergeCell ref="CE101:CE103"/>
    <mergeCell ref="CE104:CE106"/>
    <mergeCell ref="CE107:CE109"/>
    <mergeCell ref="CE110:CE112"/>
    <mergeCell ref="CE113:CE115"/>
    <mergeCell ref="CE116:CE118"/>
    <mergeCell ref="CE119:CE120"/>
    <mergeCell ref="CE121:CE122"/>
    <mergeCell ref="CE123:CE125"/>
    <mergeCell ref="CE126:CE128"/>
    <mergeCell ref="CE129:CE130"/>
    <mergeCell ref="CE131:CE132"/>
    <mergeCell ref="CE133:CE135"/>
    <mergeCell ref="CE136:CE138"/>
    <mergeCell ref="CF3:CF7"/>
    <mergeCell ref="CF8:CF12"/>
    <mergeCell ref="CF13:CF18"/>
    <mergeCell ref="CF19:CF24"/>
    <mergeCell ref="CF25:CF26"/>
    <mergeCell ref="CF27:CF32"/>
    <mergeCell ref="CF33:CF38"/>
    <mergeCell ref="CF39:CF44"/>
    <mergeCell ref="CF45:CF50"/>
    <mergeCell ref="CF51:CF55"/>
    <mergeCell ref="CF56:CF58"/>
    <mergeCell ref="CF59:CF61"/>
    <mergeCell ref="CF62:CF64"/>
    <mergeCell ref="CF65:CF67"/>
    <mergeCell ref="CF68:CF70"/>
    <mergeCell ref="CF71:CF73"/>
    <mergeCell ref="CF74:CF76"/>
    <mergeCell ref="CF77:CF79"/>
    <mergeCell ref="CF80:CF82"/>
    <mergeCell ref="CF83:CF85"/>
    <mergeCell ref="CF86:CF87"/>
    <mergeCell ref="CF88:CF89"/>
    <mergeCell ref="CF90:CF92"/>
    <mergeCell ref="CF93:CF97"/>
    <mergeCell ref="CF98:CF100"/>
    <mergeCell ref="CF101:CF103"/>
    <mergeCell ref="CF104:CF106"/>
    <mergeCell ref="CF107:CF109"/>
    <mergeCell ref="CF110:CF112"/>
    <mergeCell ref="CF113:CF115"/>
    <mergeCell ref="CF116:CF118"/>
    <mergeCell ref="CF119:CF120"/>
    <mergeCell ref="CF121:CF122"/>
    <mergeCell ref="CF123:CF125"/>
    <mergeCell ref="CF126:CF128"/>
    <mergeCell ref="CF129:CF130"/>
    <mergeCell ref="CF131:CF132"/>
    <mergeCell ref="CF133:CF135"/>
    <mergeCell ref="CF136:CF138"/>
    <mergeCell ref="CG3:CG7"/>
    <mergeCell ref="CG8:CG12"/>
    <mergeCell ref="CG13:CG18"/>
    <mergeCell ref="CG19:CG24"/>
    <mergeCell ref="CG25:CG26"/>
    <mergeCell ref="CG27:CG32"/>
    <mergeCell ref="CG33:CG38"/>
    <mergeCell ref="CG39:CG44"/>
    <mergeCell ref="CG45:CG50"/>
    <mergeCell ref="CG51:CG55"/>
    <mergeCell ref="CG56:CG61"/>
    <mergeCell ref="CG62:CG67"/>
    <mergeCell ref="CG68:CG73"/>
    <mergeCell ref="CG74:CG79"/>
    <mergeCell ref="CG80:CG85"/>
    <mergeCell ref="CG86:CG89"/>
    <mergeCell ref="CG90:CG92"/>
    <mergeCell ref="CG93:CG97"/>
    <mergeCell ref="CG98:CG103"/>
    <mergeCell ref="CG104:CG109"/>
    <mergeCell ref="CG110:CG115"/>
    <mergeCell ref="CG116:CG120"/>
    <mergeCell ref="CG121:CG122"/>
    <mergeCell ref="CG123:CG125"/>
    <mergeCell ref="CG126:CG128"/>
    <mergeCell ref="CG129:CG132"/>
    <mergeCell ref="CG133:CG138"/>
    <mergeCell ref="CH3:CH7"/>
    <mergeCell ref="CH8:CH12"/>
    <mergeCell ref="CH13:CH18"/>
    <mergeCell ref="CH19:CH24"/>
    <mergeCell ref="CH25:CH26"/>
    <mergeCell ref="CH27:CH32"/>
    <mergeCell ref="CH33:CH38"/>
    <mergeCell ref="CH39:CH44"/>
    <mergeCell ref="CH45:CH50"/>
    <mergeCell ref="CH51:CH55"/>
    <mergeCell ref="CH56:CH61"/>
    <mergeCell ref="CH62:CH67"/>
    <mergeCell ref="CH68:CH73"/>
    <mergeCell ref="CH74:CH79"/>
    <mergeCell ref="CH80:CH85"/>
    <mergeCell ref="CH86:CH89"/>
    <mergeCell ref="CH90:CH92"/>
    <mergeCell ref="CH93:CH97"/>
    <mergeCell ref="CH98:CH103"/>
    <mergeCell ref="CH104:CH109"/>
    <mergeCell ref="CH110:CH115"/>
    <mergeCell ref="CH116:CH120"/>
    <mergeCell ref="CH121:CH122"/>
    <mergeCell ref="CH123:CH125"/>
    <mergeCell ref="CH126:CH128"/>
    <mergeCell ref="CH129:CH132"/>
    <mergeCell ref="CH133:CH138"/>
    <mergeCell ref="CI3:CI7"/>
    <mergeCell ref="CI8:CI12"/>
    <mergeCell ref="CI13:CI18"/>
    <mergeCell ref="CI19:CI24"/>
    <mergeCell ref="CI25:CI26"/>
    <mergeCell ref="CI27:CI32"/>
    <mergeCell ref="CI33:CI38"/>
    <mergeCell ref="CI39:CI44"/>
    <mergeCell ref="CI45:CI50"/>
    <mergeCell ref="CI51:CI55"/>
    <mergeCell ref="CI56:CI58"/>
    <mergeCell ref="CI59:CI61"/>
    <mergeCell ref="CI62:CI64"/>
    <mergeCell ref="CI65:CI67"/>
    <mergeCell ref="CI68:CI70"/>
    <mergeCell ref="CI71:CI73"/>
    <mergeCell ref="CI74:CI76"/>
    <mergeCell ref="CI77:CI79"/>
    <mergeCell ref="CI80:CI82"/>
    <mergeCell ref="CI83:CI85"/>
    <mergeCell ref="CI86:CI87"/>
    <mergeCell ref="CI88:CI89"/>
    <mergeCell ref="CI90:CI92"/>
    <mergeCell ref="CI93:CI97"/>
    <mergeCell ref="CI98:CI100"/>
    <mergeCell ref="CI101:CI103"/>
    <mergeCell ref="CI104:CI106"/>
    <mergeCell ref="CI107:CI109"/>
    <mergeCell ref="CI110:CI112"/>
    <mergeCell ref="CI113:CI115"/>
    <mergeCell ref="CI116:CI118"/>
    <mergeCell ref="CI119:CI120"/>
    <mergeCell ref="CI121:CI122"/>
    <mergeCell ref="CI123:CI125"/>
    <mergeCell ref="CI126:CI128"/>
    <mergeCell ref="CI129:CI130"/>
    <mergeCell ref="CI131:CI132"/>
    <mergeCell ref="CI133:CI135"/>
    <mergeCell ref="CI136:CI138"/>
    <mergeCell ref="CJ3:CJ7"/>
    <mergeCell ref="CJ8:CJ12"/>
    <mergeCell ref="CJ13:CJ18"/>
    <mergeCell ref="CJ19:CJ24"/>
    <mergeCell ref="CJ25:CJ26"/>
    <mergeCell ref="CJ27:CJ32"/>
    <mergeCell ref="CJ33:CJ38"/>
    <mergeCell ref="CJ39:CJ44"/>
    <mergeCell ref="CJ45:CJ50"/>
    <mergeCell ref="CJ51:CJ55"/>
    <mergeCell ref="CJ56:CJ58"/>
    <mergeCell ref="CJ59:CJ61"/>
    <mergeCell ref="CJ62:CJ64"/>
    <mergeCell ref="CJ65:CJ67"/>
    <mergeCell ref="CJ68:CJ70"/>
    <mergeCell ref="CJ71:CJ73"/>
    <mergeCell ref="CJ74:CJ76"/>
    <mergeCell ref="CJ77:CJ79"/>
    <mergeCell ref="CJ80:CJ82"/>
    <mergeCell ref="CJ83:CJ85"/>
    <mergeCell ref="CJ86:CJ87"/>
    <mergeCell ref="CJ88:CJ89"/>
    <mergeCell ref="CJ90:CJ92"/>
    <mergeCell ref="CJ93:CJ97"/>
    <mergeCell ref="CJ98:CJ100"/>
    <mergeCell ref="CJ101:CJ103"/>
    <mergeCell ref="CJ104:CJ106"/>
    <mergeCell ref="CJ107:CJ109"/>
    <mergeCell ref="CJ110:CJ112"/>
    <mergeCell ref="CJ113:CJ115"/>
    <mergeCell ref="CJ116:CJ118"/>
    <mergeCell ref="CJ119:CJ120"/>
    <mergeCell ref="CJ121:CJ122"/>
    <mergeCell ref="CJ123:CJ125"/>
    <mergeCell ref="CJ126:CJ128"/>
    <mergeCell ref="CJ129:CJ130"/>
    <mergeCell ref="CJ131:CJ132"/>
    <mergeCell ref="CJ133:CJ135"/>
    <mergeCell ref="CJ136:CJ138"/>
    <mergeCell ref="CK3:CK7"/>
    <mergeCell ref="CK8:CK12"/>
    <mergeCell ref="CK13:CK18"/>
    <mergeCell ref="CK19:CK24"/>
    <mergeCell ref="CK25:CK26"/>
    <mergeCell ref="CK27:CK32"/>
    <mergeCell ref="CK33:CK38"/>
    <mergeCell ref="CK39:CK44"/>
    <mergeCell ref="CK45:CK50"/>
    <mergeCell ref="CK51:CK55"/>
    <mergeCell ref="CK56:CK61"/>
    <mergeCell ref="CK62:CK67"/>
    <mergeCell ref="CK68:CK73"/>
    <mergeCell ref="CK74:CK79"/>
    <mergeCell ref="CK80:CK85"/>
    <mergeCell ref="CK86:CK89"/>
    <mergeCell ref="CK90:CK92"/>
    <mergeCell ref="CK93:CK97"/>
    <mergeCell ref="CK98:CK103"/>
    <mergeCell ref="CK104:CK109"/>
    <mergeCell ref="CK110:CK115"/>
    <mergeCell ref="CK116:CK120"/>
    <mergeCell ref="CK121:CK122"/>
    <mergeCell ref="CK123:CK125"/>
    <mergeCell ref="CK126:CK128"/>
    <mergeCell ref="CK129:CK132"/>
    <mergeCell ref="CK133:CK138"/>
    <mergeCell ref="CL3:CL7"/>
    <mergeCell ref="CL8:CL12"/>
    <mergeCell ref="CL13:CL18"/>
    <mergeCell ref="CL19:CL24"/>
    <mergeCell ref="CL25:CL26"/>
    <mergeCell ref="CL27:CL32"/>
    <mergeCell ref="CL33:CL38"/>
    <mergeCell ref="CL39:CL44"/>
    <mergeCell ref="CL45:CL50"/>
    <mergeCell ref="CL51:CL55"/>
    <mergeCell ref="CL56:CL61"/>
    <mergeCell ref="CL62:CL67"/>
    <mergeCell ref="CL68:CL73"/>
    <mergeCell ref="CL74:CL79"/>
    <mergeCell ref="CL80:CL85"/>
    <mergeCell ref="CL86:CL89"/>
    <mergeCell ref="CL90:CL92"/>
    <mergeCell ref="CL93:CL97"/>
    <mergeCell ref="CL98:CL103"/>
    <mergeCell ref="CL104:CL109"/>
    <mergeCell ref="CL110:CL115"/>
    <mergeCell ref="CL116:CL120"/>
    <mergeCell ref="CL121:CL122"/>
    <mergeCell ref="CL123:CL125"/>
    <mergeCell ref="CL126:CL128"/>
    <mergeCell ref="CL129:CL132"/>
    <mergeCell ref="CL133:CL138"/>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8"/>
  <sheetViews>
    <sheetView workbookViewId="0">
      <selection activeCell="D25" sqref="D25"/>
    </sheetView>
  </sheetViews>
  <sheetFormatPr defaultColWidth="9" defaultRowHeight="16.8" outlineLevelCol="6"/>
  <cols>
    <col min="1" max="1" width="10" style="1" customWidth="1"/>
    <col min="2" max="2" width="32" style="1" customWidth="1"/>
    <col min="3" max="3" width="55" style="1" customWidth="1"/>
    <col min="4" max="4" width="30" style="1" customWidth="1"/>
    <col min="5" max="5" width="40" style="1" customWidth="1"/>
    <col min="6" max="6" width="46" style="1" customWidth="1"/>
    <col min="7" max="7" width="42" style="1" hidden="1" customWidth="1"/>
  </cols>
  <sheetData>
    <row r="1" ht="28" customHeight="1" spans="1:1">
      <c r="A1" s="33" t="s">
        <v>1331</v>
      </c>
    </row>
    <row r="2" ht="36" customHeight="1" spans="1:1">
      <c r="A2" s="34" t="s">
        <v>1332</v>
      </c>
    </row>
    <row r="3" ht="22" customHeight="1" spans="1:1">
      <c r="A3" s="35" t="s">
        <v>1333</v>
      </c>
    </row>
    <row r="4" ht="22" customHeight="1" spans="1:7">
      <c r="A4" s="36" t="s">
        <v>1334</v>
      </c>
      <c r="B4" s="36" t="s">
        <v>1335</v>
      </c>
      <c r="C4" s="36" t="s">
        <v>1336</v>
      </c>
      <c r="D4" s="36" t="s">
        <v>1337</v>
      </c>
      <c r="E4" s="36" t="s">
        <v>1338</v>
      </c>
      <c r="F4" s="36" t="s">
        <v>1339</v>
      </c>
      <c r="G4" s="57"/>
    </row>
    <row r="5" ht="60" customHeight="1" spans="1:7">
      <c r="A5" s="37" t="s">
        <v>1340</v>
      </c>
      <c r="B5" s="38" t="s">
        <v>1341</v>
      </c>
      <c r="C5" s="38" t="s">
        <v>1342</v>
      </c>
      <c r="D5" s="38" t="s">
        <v>1343</v>
      </c>
      <c r="E5" s="38" t="s">
        <v>1344</v>
      </c>
      <c r="F5" s="38" t="s">
        <v>1345</v>
      </c>
      <c r="G5" s="46"/>
    </row>
    <row r="6" ht="60" customHeight="1" spans="1:7">
      <c r="A6" s="39" t="s">
        <v>1346</v>
      </c>
      <c r="B6" s="40" t="s">
        <v>1347</v>
      </c>
      <c r="C6" s="40" t="s">
        <v>1348</v>
      </c>
      <c r="D6" s="40" t="s">
        <v>1343</v>
      </c>
      <c r="E6" s="40" t="s">
        <v>1349</v>
      </c>
      <c r="F6" s="40" t="s">
        <v>1350</v>
      </c>
      <c r="G6" s="46"/>
    </row>
    <row r="7" ht="60" customHeight="1" spans="1:7">
      <c r="A7" s="41" t="s">
        <v>1351</v>
      </c>
      <c r="B7" s="42" t="s">
        <v>1352</v>
      </c>
      <c r="C7" s="42" t="s">
        <v>1353</v>
      </c>
      <c r="D7" s="42" t="s">
        <v>1354</v>
      </c>
      <c r="E7" s="42" t="s">
        <v>1355</v>
      </c>
      <c r="F7" s="42" t="s">
        <v>1356</v>
      </c>
      <c r="G7" s="46"/>
    </row>
    <row r="8" ht="60" customHeight="1" spans="1:7">
      <c r="A8" s="43" t="s">
        <v>1357</v>
      </c>
      <c r="B8" s="44" t="s">
        <v>1358</v>
      </c>
      <c r="C8" s="44" t="s">
        <v>1359</v>
      </c>
      <c r="D8" s="44" t="s">
        <v>1360</v>
      </c>
      <c r="E8" s="44" t="s">
        <v>1361</v>
      </c>
      <c r="F8" s="44" t="s">
        <v>1362</v>
      </c>
      <c r="G8" s="46"/>
    </row>
    <row r="9" ht="4" customHeight="1" spans="1:7">
      <c r="A9" s="45"/>
      <c r="B9" s="46"/>
      <c r="C9" s="46"/>
      <c r="D9" s="46"/>
      <c r="E9" s="46"/>
      <c r="F9" s="46"/>
      <c r="G9" s="46"/>
    </row>
    <row r="10" ht="10" customHeight="1"/>
    <row r="11" ht="22" customHeight="1" spans="1:1">
      <c r="A11" s="35" t="s">
        <v>1363</v>
      </c>
    </row>
    <row r="12" ht="22" customHeight="1" spans="1:6">
      <c r="A12" s="36" t="s">
        <v>1364</v>
      </c>
      <c r="B12" s="36" t="s">
        <v>1365</v>
      </c>
      <c r="C12" s="36" t="s">
        <v>1366</v>
      </c>
      <c r="D12" s="36" t="s">
        <v>1334</v>
      </c>
      <c r="E12" s="36" t="s">
        <v>1367</v>
      </c>
      <c r="F12" s="36" t="s">
        <v>552</v>
      </c>
    </row>
    <row r="13" ht="18" customHeight="1" spans="1:6">
      <c r="A13" s="47">
        <v>1</v>
      </c>
      <c r="B13" s="38" t="s">
        <v>24</v>
      </c>
      <c r="C13" s="47" t="s">
        <v>554</v>
      </c>
      <c r="D13" s="37" t="s">
        <v>1340</v>
      </c>
      <c r="E13" s="38" t="s">
        <v>1368</v>
      </c>
      <c r="F13" s="38" t="s">
        <v>1369</v>
      </c>
    </row>
    <row r="14" ht="18" customHeight="1" spans="1:6">
      <c r="A14" s="47">
        <v>2</v>
      </c>
      <c r="B14" s="38" t="s">
        <v>40</v>
      </c>
      <c r="C14" s="48"/>
      <c r="D14" s="37" t="s">
        <v>1340</v>
      </c>
      <c r="E14" s="38" t="s">
        <v>1368</v>
      </c>
      <c r="F14" s="38" t="s">
        <v>1369</v>
      </c>
    </row>
    <row r="15" ht="18" customHeight="1" spans="1:6">
      <c r="A15" s="49">
        <v>3</v>
      </c>
      <c r="B15" s="44" t="s">
        <v>52</v>
      </c>
      <c r="C15" s="48"/>
      <c r="D15" s="43" t="s">
        <v>1357</v>
      </c>
      <c r="E15" s="44" t="s">
        <v>1370</v>
      </c>
      <c r="F15" s="44" t="s">
        <v>1369</v>
      </c>
    </row>
    <row r="16" ht="18" customHeight="1" spans="1:6">
      <c r="A16" s="47">
        <v>4</v>
      </c>
      <c r="B16" s="38" t="s">
        <v>64</v>
      </c>
      <c r="C16" s="48"/>
      <c r="D16" s="37" t="s">
        <v>1340</v>
      </c>
      <c r="E16" s="38" t="s">
        <v>1368</v>
      </c>
      <c r="F16" s="38" t="s">
        <v>1369</v>
      </c>
    </row>
    <row r="17" ht="18" customHeight="1" spans="1:6">
      <c r="A17" s="49">
        <v>5</v>
      </c>
      <c r="B17" s="44" t="s">
        <v>81</v>
      </c>
      <c r="C17" s="50"/>
      <c r="D17" s="43" t="s">
        <v>1357</v>
      </c>
      <c r="E17" s="44" t="s">
        <v>1370</v>
      </c>
      <c r="F17" s="44" t="s">
        <v>1369</v>
      </c>
    </row>
    <row r="18" ht="18" customHeight="1" spans="1:6">
      <c r="A18" s="47">
        <v>6</v>
      </c>
      <c r="B18" s="38" t="s">
        <v>116</v>
      </c>
      <c r="C18" s="47" t="s">
        <v>583</v>
      </c>
      <c r="D18" s="37" t="s">
        <v>1340</v>
      </c>
      <c r="E18" s="38" t="s">
        <v>1368</v>
      </c>
      <c r="F18" s="38" t="s">
        <v>1369</v>
      </c>
    </row>
    <row r="19" ht="18" customHeight="1" spans="1:6">
      <c r="A19" s="47">
        <v>7</v>
      </c>
      <c r="B19" s="38" t="s">
        <v>144</v>
      </c>
      <c r="C19" s="48"/>
      <c r="D19" s="37" t="s">
        <v>1340</v>
      </c>
      <c r="E19" s="38" t="s">
        <v>1368</v>
      </c>
      <c r="F19" s="38" t="s">
        <v>1369</v>
      </c>
    </row>
    <row r="20" ht="18" customHeight="1" spans="1:6">
      <c r="A20" s="47">
        <v>8</v>
      </c>
      <c r="B20" s="38" t="s">
        <v>155</v>
      </c>
      <c r="C20" s="48"/>
      <c r="D20" s="37" t="s">
        <v>1340</v>
      </c>
      <c r="E20" s="38" t="s">
        <v>1368</v>
      </c>
      <c r="F20" s="38" t="s">
        <v>1369</v>
      </c>
    </row>
    <row r="21" ht="18" customHeight="1" spans="1:6">
      <c r="A21" s="49">
        <v>9</v>
      </c>
      <c r="B21" s="44" t="s">
        <v>166</v>
      </c>
      <c r="C21" s="50"/>
      <c r="D21" s="43" t="s">
        <v>1357</v>
      </c>
      <c r="E21" s="44" t="s">
        <v>1370</v>
      </c>
      <c r="F21" s="44" t="s">
        <v>1369</v>
      </c>
    </row>
    <row r="22" ht="18" customHeight="1" spans="1:6">
      <c r="A22" s="47">
        <v>10</v>
      </c>
      <c r="B22" s="38" t="s">
        <v>234</v>
      </c>
      <c r="C22" s="47" t="s">
        <v>200</v>
      </c>
      <c r="D22" s="37" t="s">
        <v>1340</v>
      </c>
      <c r="E22" s="38" t="s">
        <v>1368</v>
      </c>
      <c r="F22" s="38" t="s">
        <v>1369</v>
      </c>
    </row>
    <row r="23" ht="18" customHeight="1" spans="1:6">
      <c r="A23" s="51">
        <v>11</v>
      </c>
      <c r="B23" s="40" t="s">
        <v>247</v>
      </c>
      <c r="C23" s="48"/>
      <c r="D23" s="39" t="s">
        <v>1346</v>
      </c>
      <c r="E23" s="40" t="s">
        <v>1371</v>
      </c>
      <c r="F23" s="40" t="s">
        <v>1369</v>
      </c>
    </row>
    <row r="24" ht="18" customHeight="1" spans="1:6">
      <c r="A24" s="51">
        <v>12</v>
      </c>
      <c r="B24" s="40" t="s">
        <v>261</v>
      </c>
      <c r="C24" s="48"/>
      <c r="D24" s="39" t="s">
        <v>1346</v>
      </c>
      <c r="E24" s="40" t="s">
        <v>1371</v>
      </c>
      <c r="F24" s="40" t="s">
        <v>1369</v>
      </c>
    </row>
    <row r="25" ht="18" customHeight="1" spans="1:6">
      <c r="A25" s="52">
        <v>13</v>
      </c>
      <c r="B25" s="42" t="s">
        <v>280</v>
      </c>
      <c r="C25" s="48"/>
      <c r="D25" s="41" t="s">
        <v>1351</v>
      </c>
      <c r="E25" s="42" t="s">
        <v>1372</v>
      </c>
      <c r="F25" s="42" t="s">
        <v>1369</v>
      </c>
    </row>
    <row r="26" ht="18" customHeight="1" spans="1:6">
      <c r="A26" s="52">
        <v>14</v>
      </c>
      <c r="B26" s="42" t="s">
        <v>307</v>
      </c>
      <c r="C26" s="48"/>
      <c r="D26" s="41" t="s">
        <v>1351</v>
      </c>
      <c r="E26" s="42" t="s">
        <v>1372</v>
      </c>
      <c r="F26" s="42" t="s">
        <v>1369</v>
      </c>
    </row>
    <row r="27" ht="18" customHeight="1" spans="1:6">
      <c r="A27" s="49">
        <v>15</v>
      </c>
      <c r="B27" s="44" t="s">
        <v>327</v>
      </c>
      <c r="C27" s="48"/>
      <c r="D27" s="43" t="s">
        <v>1357</v>
      </c>
      <c r="E27" s="44" t="s">
        <v>1370</v>
      </c>
      <c r="F27" s="44" t="s">
        <v>1369</v>
      </c>
    </row>
    <row r="28" ht="18" customHeight="1" spans="1:6">
      <c r="A28" s="53">
        <v>16</v>
      </c>
      <c r="B28" s="54" t="s">
        <v>342</v>
      </c>
      <c r="C28" s="48"/>
      <c r="D28" s="55" t="s">
        <v>1351</v>
      </c>
      <c r="E28" s="54" t="s">
        <v>1373</v>
      </c>
      <c r="F28" s="54" t="s">
        <v>1369</v>
      </c>
    </row>
    <row r="29" ht="18" customHeight="1" spans="1:6">
      <c r="A29" s="51">
        <v>17</v>
      </c>
      <c r="B29" s="40" t="s">
        <v>351</v>
      </c>
      <c r="C29" s="48"/>
      <c r="D29" s="39" t="s">
        <v>1346</v>
      </c>
      <c r="E29" s="40" t="s">
        <v>1371</v>
      </c>
      <c r="F29" s="40" t="s">
        <v>1369</v>
      </c>
    </row>
    <row r="30" ht="18" customHeight="1" spans="1:6">
      <c r="A30" s="51">
        <v>18</v>
      </c>
      <c r="B30" s="40" t="s">
        <v>369</v>
      </c>
      <c r="C30" s="48"/>
      <c r="D30" s="39" t="s">
        <v>1346</v>
      </c>
      <c r="E30" s="40" t="s">
        <v>1371</v>
      </c>
      <c r="F30" s="40" t="s">
        <v>1369</v>
      </c>
    </row>
    <row r="31" ht="18" customHeight="1" spans="1:6">
      <c r="A31" s="52">
        <v>19</v>
      </c>
      <c r="B31" s="42" t="s">
        <v>391</v>
      </c>
      <c r="C31" s="48"/>
      <c r="D31" s="41" t="s">
        <v>1351</v>
      </c>
      <c r="E31" s="42" t="s">
        <v>1372</v>
      </c>
      <c r="F31" s="42" t="s">
        <v>1369</v>
      </c>
    </row>
    <row r="32" ht="18" customHeight="1" spans="1:6">
      <c r="A32" s="52">
        <v>20</v>
      </c>
      <c r="B32" s="42" t="s">
        <v>404</v>
      </c>
      <c r="C32" s="48"/>
      <c r="D32" s="41" t="s">
        <v>1351</v>
      </c>
      <c r="E32" s="42" t="s">
        <v>1372</v>
      </c>
      <c r="F32" s="42" t="s">
        <v>1369</v>
      </c>
    </row>
    <row r="33" ht="18" customHeight="1" spans="1:6">
      <c r="A33" s="51">
        <v>21</v>
      </c>
      <c r="B33" s="40" t="s">
        <v>464</v>
      </c>
      <c r="C33" s="48"/>
      <c r="D33" s="56" t="s">
        <v>1346</v>
      </c>
      <c r="E33" s="58" t="s">
        <v>1374</v>
      </c>
      <c r="F33" s="59" t="s">
        <v>1369</v>
      </c>
    </row>
    <row r="34" ht="18" customHeight="1" spans="1:6">
      <c r="A34" s="51">
        <v>22</v>
      </c>
      <c r="B34" s="40" t="s">
        <v>467</v>
      </c>
      <c r="C34" s="48"/>
      <c r="D34" s="56" t="s">
        <v>1346</v>
      </c>
      <c r="E34" s="58" t="s">
        <v>1374</v>
      </c>
      <c r="F34" s="59" t="s">
        <v>1369</v>
      </c>
    </row>
    <row r="35" ht="18" customHeight="1" spans="1:6">
      <c r="A35" s="51">
        <v>23</v>
      </c>
      <c r="B35" s="40" t="s">
        <v>470</v>
      </c>
      <c r="C35" s="48"/>
      <c r="D35" s="56" t="s">
        <v>1346</v>
      </c>
      <c r="E35" s="58" t="s">
        <v>1374</v>
      </c>
      <c r="F35" s="59" t="s">
        <v>1369</v>
      </c>
    </row>
    <row r="36" ht="18" customHeight="1" spans="1:6">
      <c r="A36" s="51">
        <v>24</v>
      </c>
      <c r="B36" s="40" t="s">
        <v>473</v>
      </c>
      <c r="C36" s="48"/>
      <c r="D36" s="56" t="s">
        <v>1346</v>
      </c>
      <c r="E36" s="58" t="s">
        <v>1374</v>
      </c>
      <c r="F36" s="59" t="s">
        <v>1369</v>
      </c>
    </row>
    <row r="37" ht="18" customHeight="1" spans="1:6">
      <c r="A37" s="51">
        <v>25</v>
      </c>
      <c r="B37" s="40" t="s">
        <v>476</v>
      </c>
      <c r="C37" s="48"/>
      <c r="D37" s="56" t="s">
        <v>1346</v>
      </c>
      <c r="E37" s="58" t="s">
        <v>1374</v>
      </c>
      <c r="F37" s="59" t="s">
        <v>1369</v>
      </c>
    </row>
    <row r="38" ht="18" customHeight="1" spans="1:6">
      <c r="A38" s="51">
        <v>26</v>
      </c>
      <c r="B38" s="40" t="s">
        <v>479</v>
      </c>
      <c r="C38" s="50"/>
      <c r="D38" s="56" t="s">
        <v>1346</v>
      </c>
      <c r="E38" s="58" t="s">
        <v>1374</v>
      </c>
      <c r="F38" s="59" t="s">
        <v>1369</v>
      </c>
    </row>
  </sheetData>
  <mergeCells count="7">
    <mergeCell ref="A1:G1"/>
    <mergeCell ref="A2:G2"/>
    <mergeCell ref="A3:G3"/>
    <mergeCell ref="A11:G11"/>
    <mergeCell ref="C13:C17"/>
    <mergeCell ref="C18:C21"/>
    <mergeCell ref="C22:C38"/>
  </mergeCells>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zoomScale="89" zoomScaleNormal="89" topLeftCell="A12" workbookViewId="0">
      <selection activeCell="E17" sqref="E17"/>
    </sheetView>
  </sheetViews>
  <sheetFormatPr defaultColWidth="9" defaultRowHeight="16.8" outlineLevelCol="5"/>
  <cols>
    <col min="1" max="1" width="18" style="1" customWidth="1"/>
    <col min="2" max="2" width="15" style="1" customWidth="1"/>
    <col min="3" max="3" width="18" style="1" customWidth="1"/>
    <col min="4" max="4" width="22" style="1" customWidth="1"/>
    <col min="5" max="5" width="14" style="1" customWidth="1"/>
    <col min="6" max="6" width="65" style="1" customWidth="1"/>
  </cols>
  <sheetData>
    <row r="1" ht="20.4" customHeight="1" spans="1:1">
      <c r="A1" s="2" t="s">
        <v>1375</v>
      </c>
    </row>
    <row r="2" ht="50" customHeight="1" spans="1:1">
      <c r="A2" s="30" t="s">
        <v>1376</v>
      </c>
    </row>
    <row r="4" ht="17" customHeight="1" spans="1:6">
      <c r="A4" s="6" t="s">
        <v>0</v>
      </c>
      <c r="B4" s="6" t="s">
        <v>1</v>
      </c>
      <c r="C4" s="6" t="s">
        <v>2</v>
      </c>
      <c r="D4" s="6" t="s">
        <v>537</v>
      </c>
      <c r="E4" s="6" t="s">
        <v>1377</v>
      </c>
      <c r="F4" s="6" t="s">
        <v>1378</v>
      </c>
    </row>
    <row r="5" ht="80" customHeight="1" spans="1:6">
      <c r="A5" s="31" t="s">
        <v>554</v>
      </c>
      <c r="B5" s="31" t="s">
        <v>23</v>
      </c>
      <c r="C5" s="32" t="s">
        <v>24</v>
      </c>
      <c r="D5" s="32" t="s">
        <v>557</v>
      </c>
      <c r="E5" s="32">
        <v>0.7</v>
      </c>
      <c r="F5" s="32" t="s">
        <v>1379</v>
      </c>
    </row>
    <row r="6" ht="80" customHeight="1" spans="1:6">
      <c r="A6" s="14"/>
      <c r="B6" s="14"/>
      <c r="C6" s="32" t="s">
        <v>40</v>
      </c>
      <c r="D6" s="32" t="s">
        <v>565</v>
      </c>
      <c r="E6" s="32">
        <v>0.7</v>
      </c>
      <c r="F6" s="32" t="s">
        <v>1380</v>
      </c>
    </row>
    <row r="7" ht="80" customHeight="1" spans="1:6">
      <c r="A7" s="14"/>
      <c r="B7" s="15"/>
      <c r="C7" s="32" t="s">
        <v>52</v>
      </c>
      <c r="D7" s="32" t="s">
        <v>1381</v>
      </c>
      <c r="E7" s="32">
        <v>0.2</v>
      </c>
      <c r="F7" s="32" t="s">
        <v>1382</v>
      </c>
    </row>
    <row r="8" ht="80" customHeight="1" spans="1:6">
      <c r="A8" s="14"/>
      <c r="B8" s="31" t="s">
        <v>63</v>
      </c>
      <c r="C8" s="32" t="s">
        <v>64</v>
      </c>
      <c r="D8" s="32" t="s">
        <v>1383</v>
      </c>
      <c r="E8" s="32">
        <v>0.7</v>
      </c>
      <c r="F8" s="32" t="s">
        <v>1384</v>
      </c>
    </row>
    <row r="9" ht="80" customHeight="1" spans="1:6">
      <c r="A9" s="15"/>
      <c r="B9" s="15"/>
      <c r="C9" s="32" t="s">
        <v>81</v>
      </c>
      <c r="D9" s="32" t="s">
        <v>1385</v>
      </c>
      <c r="E9" s="32">
        <v>0.2</v>
      </c>
      <c r="F9" s="32" t="s">
        <v>1386</v>
      </c>
    </row>
    <row r="10" ht="80" customHeight="1" spans="1:6">
      <c r="A10" s="31" t="s">
        <v>583</v>
      </c>
      <c r="B10" s="32" t="s">
        <v>531</v>
      </c>
      <c r="C10" s="32" t="s">
        <v>116</v>
      </c>
      <c r="D10" s="32" t="s">
        <v>584</v>
      </c>
      <c r="E10" s="32">
        <v>0.7</v>
      </c>
      <c r="F10" s="32" t="s">
        <v>1387</v>
      </c>
    </row>
    <row r="11" ht="80" customHeight="1" spans="1:6">
      <c r="A11" s="14"/>
      <c r="B11" s="32" t="s">
        <v>143</v>
      </c>
      <c r="C11" s="32" t="s">
        <v>144</v>
      </c>
      <c r="D11" s="32" t="s">
        <v>1388</v>
      </c>
      <c r="E11" s="32">
        <v>0.7</v>
      </c>
      <c r="F11" s="32" t="s">
        <v>1389</v>
      </c>
    </row>
    <row r="12" ht="80" customHeight="1" spans="1:6">
      <c r="A12" s="14"/>
      <c r="B12" s="32" t="s">
        <v>1369</v>
      </c>
      <c r="C12" s="32" t="s">
        <v>155</v>
      </c>
      <c r="D12" s="32" t="s">
        <v>1390</v>
      </c>
      <c r="E12" s="32">
        <v>0.5</v>
      </c>
      <c r="F12" s="32" t="s">
        <v>1391</v>
      </c>
    </row>
    <row r="13" ht="80" customHeight="1" spans="1:6">
      <c r="A13" s="15"/>
      <c r="B13" s="32" t="s">
        <v>1369</v>
      </c>
      <c r="C13" s="32" t="s">
        <v>166</v>
      </c>
      <c r="D13" s="32" t="s">
        <v>1392</v>
      </c>
      <c r="E13" s="32">
        <v>0.1</v>
      </c>
      <c r="F13" s="32" t="s">
        <v>1393</v>
      </c>
    </row>
    <row r="14" ht="80" customHeight="1" spans="1:6">
      <c r="A14" s="31" t="s">
        <v>593</v>
      </c>
      <c r="B14" s="31" t="s">
        <v>226</v>
      </c>
      <c r="C14" s="32" t="s">
        <v>234</v>
      </c>
      <c r="D14" s="32" t="s">
        <v>594</v>
      </c>
      <c r="E14" s="32">
        <v>0.7</v>
      </c>
      <c r="F14" s="32" t="s">
        <v>1394</v>
      </c>
    </row>
    <row r="15" ht="80" customHeight="1" spans="1:6">
      <c r="A15" s="14"/>
      <c r="B15" s="14"/>
      <c r="C15" s="32" t="s">
        <v>247</v>
      </c>
      <c r="D15" s="32" t="s">
        <v>1395</v>
      </c>
      <c r="E15" s="32">
        <v>0.7</v>
      </c>
      <c r="F15" s="32" t="s">
        <v>1396</v>
      </c>
    </row>
    <row r="16" ht="80" customHeight="1" spans="1:6">
      <c r="A16" s="14"/>
      <c r="B16" s="15"/>
      <c r="C16" s="32" t="s">
        <v>261</v>
      </c>
      <c r="D16" s="32" t="s">
        <v>1395</v>
      </c>
      <c r="E16" s="32">
        <v>0.7</v>
      </c>
      <c r="F16" s="32" t="s">
        <v>1397</v>
      </c>
    </row>
    <row r="17" ht="80" customHeight="1" spans="1:6">
      <c r="A17" s="14"/>
      <c r="B17" s="31" t="s">
        <v>279</v>
      </c>
      <c r="C17" s="32" t="s">
        <v>280</v>
      </c>
      <c r="D17" s="32" t="s">
        <v>1398</v>
      </c>
      <c r="E17" s="32">
        <v>0.2</v>
      </c>
      <c r="F17" s="32" t="s">
        <v>1399</v>
      </c>
    </row>
    <row r="18" ht="80" customHeight="1" spans="1:6">
      <c r="A18" s="14"/>
      <c r="B18" s="15"/>
      <c r="C18" s="32" t="s">
        <v>1400</v>
      </c>
      <c r="D18" s="32" t="s">
        <v>1400</v>
      </c>
      <c r="E18" s="32">
        <v>0.2</v>
      </c>
      <c r="F18" s="32" t="s">
        <v>1401</v>
      </c>
    </row>
    <row r="19" ht="80" customHeight="1" spans="1:6">
      <c r="A19" s="14"/>
      <c r="B19" s="32" t="s">
        <v>306</v>
      </c>
      <c r="C19" s="32" t="s">
        <v>307</v>
      </c>
      <c r="D19" s="32" t="s">
        <v>1402</v>
      </c>
      <c r="E19" s="32">
        <v>0.2</v>
      </c>
      <c r="F19" s="32" t="s">
        <v>1403</v>
      </c>
    </row>
    <row r="20" ht="80" customHeight="1" spans="1:6">
      <c r="A20" s="14"/>
      <c r="B20" s="32" t="s">
        <v>326</v>
      </c>
      <c r="C20" s="32" t="s">
        <v>327</v>
      </c>
      <c r="D20" s="32" t="s">
        <v>1404</v>
      </c>
      <c r="E20" s="32">
        <v>0.1</v>
      </c>
      <c r="F20" s="32" t="s">
        <v>1405</v>
      </c>
    </row>
    <row r="21" ht="80" customHeight="1" spans="1:6">
      <c r="A21" s="14"/>
      <c r="B21" s="31" t="s">
        <v>336</v>
      </c>
      <c r="C21" s="32" t="s">
        <v>342</v>
      </c>
      <c r="D21" s="32" t="s">
        <v>1406</v>
      </c>
      <c r="E21" s="32">
        <v>0.1</v>
      </c>
      <c r="F21" s="32" t="s">
        <v>1407</v>
      </c>
    </row>
    <row r="22" ht="80" customHeight="1" spans="1:6">
      <c r="A22" s="14"/>
      <c r="B22" s="15"/>
      <c r="C22" s="32" t="s">
        <v>351</v>
      </c>
      <c r="D22" s="32" t="s">
        <v>1408</v>
      </c>
      <c r="E22" s="32">
        <v>0.3</v>
      </c>
      <c r="F22" s="32" t="s">
        <v>1409</v>
      </c>
    </row>
    <row r="23" ht="80" customHeight="1" spans="1:6">
      <c r="A23" s="14"/>
      <c r="B23" s="31" t="s">
        <v>368</v>
      </c>
      <c r="C23" s="32" t="s">
        <v>369</v>
      </c>
      <c r="D23" s="32" t="s">
        <v>1395</v>
      </c>
      <c r="E23" s="32">
        <v>0.2</v>
      </c>
      <c r="F23" s="32" t="s">
        <v>1410</v>
      </c>
    </row>
    <row r="24" ht="80" customHeight="1" spans="1:6">
      <c r="A24" s="14"/>
      <c r="B24" s="14"/>
      <c r="C24" s="32" t="s">
        <v>391</v>
      </c>
      <c r="D24" s="32" t="s">
        <v>1395</v>
      </c>
      <c r="E24" s="32">
        <v>0.2</v>
      </c>
      <c r="F24" s="32" t="s">
        <v>1411</v>
      </c>
    </row>
    <row r="25" ht="80" customHeight="1" spans="1:6">
      <c r="A25" s="14"/>
      <c r="B25" s="15"/>
      <c r="C25" s="32" t="s">
        <v>404</v>
      </c>
      <c r="D25" s="32" t="s">
        <v>1395</v>
      </c>
      <c r="E25" s="32">
        <v>0.1</v>
      </c>
      <c r="F25" s="32" t="s">
        <v>1412</v>
      </c>
    </row>
    <row r="26" ht="80" customHeight="1" spans="1:6">
      <c r="A26" s="14"/>
      <c r="B26" s="31" t="s">
        <v>420</v>
      </c>
      <c r="C26" s="32" t="s">
        <v>464</v>
      </c>
      <c r="D26" s="32" t="s">
        <v>1413</v>
      </c>
      <c r="E26" s="32">
        <v>0.3</v>
      </c>
      <c r="F26" s="32" t="s">
        <v>1414</v>
      </c>
    </row>
    <row r="27" ht="80" customHeight="1" spans="1:6">
      <c r="A27" s="14"/>
      <c r="B27" s="14"/>
      <c r="C27" s="32" t="s">
        <v>467</v>
      </c>
      <c r="D27" s="32" t="s">
        <v>1415</v>
      </c>
      <c r="E27" s="32">
        <v>0.3</v>
      </c>
      <c r="F27" s="32" t="s">
        <v>1416</v>
      </c>
    </row>
    <row r="28" ht="80" customHeight="1" spans="1:6">
      <c r="A28" s="14"/>
      <c r="B28" s="14"/>
      <c r="C28" s="32" t="s">
        <v>470</v>
      </c>
      <c r="D28" s="32" t="s">
        <v>1417</v>
      </c>
      <c r="E28" s="32">
        <v>0.3</v>
      </c>
      <c r="F28" s="32" t="s">
        <v>1418</v>
      </c>
    </row>
    <row r="29" ht="80" customHeight="1" spans="1:6">
      <c r="A29" s="14"/>
      <c r="B29" s="14"/>
      <c r="C29" s="32" t="s">
        <v>473</v>
      </c>
      <c r="D29" s="32" t="s">
        <v>1419</v>
      </c>
      <c r="E29" s="32">
        <v>0.3</v>
      </c>
      <c r="F29" s="32" t="s">
        <v>1420</v>
      </c>
    </row>
    <row r="30" ht="80" customHeight="1" spans="1:6">
      <c r="A30" s="14"/>
      <c r="B30" s="14"/>
      <c r="C30" s="32" t="s">
        <v>476</v>
      </c>
      <c r="D30" s="32" t="s">
        <v>1421</v>
      </c>
      <c r="E30" s="32">
        <v>0.3</v>
      </c>
      <c r="F30" s="32" t="s">
        <v>1422</v>
      </c>
    </row>
    <row r="31" ht="80" customHeight="1" spans="1:6">
      <c r="A31" s="15"/>
      <c r="B31" s="15"/>
      <c r="C31" s="32" t="s">
        <v>479</v>
      </c>
      <c r="D31" s="32" t="s">
        <v>1395</v>
      </c>
      <c r="E31" s="32">
        <v>0.3</v>
      </c>
      <c r="F31" s="32" t="s">
        <v>1423</v>
      </c>
    </row>
  </sheetData>
  <mergeCells count="12">
    <mergeCell ref="A1:F1"/>
    <mergeCell ref="A2:F2"/>
    <mergeCell ref="A5:A9"/>
    <mergeCell ref="A10:A13"/>
    <mergeCell ref="A14:A31"/>
    <mergeCell ref="B5:B7"/>
    <mergeCell ref="B8:B9"/>
    <mergeCell ref="B14:B16"/>
    <mergeCell ref="B17:B18"/>
    <mergeCell ref="B21:B22"/>
    <mergeCell ref="B23:B25"/>
    <mergeCell ref="B26:B31"/>
  </mergeCells>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9"/>
  <sheetViews>
    <sheetView zoomScale="88" zoomScaleNormal="88" workbookViewId="0">
      <selection activeCell="A4" sqref="A4:G4"/>
    </sheetView>
  </sheetViews>
  <sheetFormatPr defaultColWidth="9" defaultRowHeight="16.8"/>
  <cols>
    <col min="1" max="1" width="21.9230769230769" style="4" customWidth="1"/>
    <col min="2" max="2" width="20.8173076923077" style="4" customWidth="1"/>
    <col min="3" max="3" width="18" style="4" customWidth="1"/>
    <col min="4" max="4" width="15" style="4" customWidth="1"/>
    <col min="5" max="5" width="35" style="4" customWidth="1"/>
    <col min="6" max="6" width="18" style="4" customWidth="1"/>
    <col min="7" max="7" width="55" style="4" customWidth="1"/>
    <col min="8" max="8" width="27.3173076923077" style="8" customWidth="1"/>
    <col min="9" max="9" width="19.6634615384615" style="8" customWidth="1"/>
    <col min="10" max="10" width="19.1153846153846" style="4" customWidth="1"/>
    <col min="11" max="11" width="21.6730769230769" style="8" customWidth="1"/>
    <col min="12" max="16384" width="9" style="8" customWidth="1"/>
  </cols>
  <sheetData>
    <row r="1" ht="20.4" customHeight="1" spans="1:1">
      <c r="A1" s="2" t="s">
        <v>1424</v>
      </c>
    </row>
    <row r="3" ht="17.6" customHeight="1" spans="1:1">
      <c r="A3" s="5" t="s">
        <v>1425</v>
      </c>
    </row>
    <row r="4" ht="70" customHeight="1" spans="1:1">
      <c r="A4" s="3" t="s">
        <v>1426</v>
      </c>
    </row>
    <row r="6" ht="17.6" customHeight="1" spans="1:1">
      <c r="A6" s="5" t="s">
        <v>1427</v>
      </c>
    </row>
    <row r="7" ht="17" customHeight="1" spans="1:6">
      <c r="A7" s="6" t="s">
        <v>1364</v>
      </c>
      <c r="B7" s="6" t="s">
        <v>1428</v>
      </c>
      <c r="C7" s="6" t="s">
        <v>1429</v>
      </c>
      <c r="D7" s="6" t="s">
        <v>1430</v>
      </c>
      <c r="E7" s="6" t="s">
        <v>1431</v>
      </c>
      <c r="F7" s="6" t="s">
        <v>1432</v>
      </c>
    </row>
    <row r="8" ht="45" customHeight="1" spans="1:6">
      <c r="A8" s="7">
        <v>1</v>
      </c>
      <c r="B8" s="7" t="s">
        <v>1433</v>
      </c>
      <c r="C8" s="7" t="s">
        <v>1434</v>
      </c>
      <c r="D8" s="7" t="s">
        <v>1435</v>
      </c>
      <c r="E8" s="7" t="s">
        <v>1436</v>
      </c>
      <c r="F8" s="7" t="s">
        <v>1437</v>
      </c>
    </row>
    <row r="9" ht="45" customHeight="1" spans="1:6">
      <c r="A9" s="7">
        <v>2</v>
      </c>
      <c r="B9" s="7" t="s">
        <v>1438</v>
      </c>
      <c r="C9" s="7" t="s">
        <v>1434</v>
      </c>
      <c r="D9" s="7" t="s">
        <v>1435</v>
      </c>
      <c r="E9" s="7" t="s">
        <v>1439</v>
      </c>
      <c r="F9" s="7" t="s">
        <v>1440</v>
      </c>
    </row>
    <row r="10" ht="45" customHeight="1" spans="1:6">
      <c r="A10" s="7">
        <v>3</v>
      </c>
      <c r="B10" s="7" t="s">
        <v>1441</v>
      </c>
      <c r="C10" s="7" t="s">
        <v>1442</v>
      </c>
      <c r="D10" s="7" t="s">
        <v>1443</v>
      </c>
      <c r="E10" s="7" t="s">
        <v>1444</v>
      </c>
      <c r="F10" s="7" t="s">
        <v>1445</v>
      </c>
    </row>
    <row r="11" ht="45" customHeight="1" spans="1:6">
      <c r="A11" s="7">
        <v>4</v>
      </c>
      <c r="B11" s="7" t="s">
        <v>1446</v>
      </c>
      <c r="C11" s="7" t="s">
        <v>1447</v>
      </c>
      <c r="D11" s="7" t="s">
        <v>1448</v>
      </c>
      <c r="E11" s="7" t="s">
        <v>1449</v>
      </c>
      <c r="F11" s="7" t="s">
        <v>1450</v>
      </c>
    </row>
    <row r="12" ht="45" customHeight="1" spans="1:6">
      <c r="A12" s="7">
        <v>5</v>
      </c>
      <c r="B12" s="7" t="s">
        <v>1451</v>
      </c>
      <c r="C12" s="7" t="s">
        <v>1452</v>
      </c>
      <c r="D12" s="7" t="s">
        <v>1453</v>
      </c>
      <c r="E12" s="7" t="s">
        <v>1454</v>
      </c>
      <c r="F12" s="7" t="s">
        <v>1455</v>
      </c>
    </row>
    <row r="14" ht="17.6" customHeight="1" spans="1:1">
      <c r="A14" s="5" t="s">
        <v>1456</v>
      </c>
    </row>
    <row r="15" ht="150" customHeight="1" spans="1:1">
      <c r="A15" s="3" t="s">
        <v>1457</v>
      </c>
    </row>
    <row r="17" ht="17.6" customHeight="1" spans="1:10">
      <c r="A17" s="9" t="s">
        <v>1458</v>
      </c>
      <c r="J17" s="8"/>
    </row>
    <row r="18" ht="17" customHeight="1" spans="1:12">
      <c r="A18" s="6" t="s">
        <v>0</v>
      </c>
      <c r="B18" s="6" t="s">
        <v>2</v>
      </c>
      <c r="C18" s="6" t="s">
        <v>1459</v>
      </c>
      <c r="D18" s="6" t="s">
        <v>1460</v>
      </c>
      <c r="E18" s="6" t="s">
        <v>1461</v>
      </c>
      <c r="F18" s="6" t="s">
        <v>1462</v>
      </c>
      <c r="G18" s="6" t="s">
        <v>1463</v>
      </c>
      <c r="H18" s="6" t="s">
        <v>1464</v>
      </c>
      <c r="I18" s="6" t="s">
        <v>1465</v>
      </c>
      <c r="J18" s="6" t="s">
        <v>1466</v>
      </c>
      <c r="K18" s="6" t="s">
        <v>1467</v>
      </c>
      <c r="L18" s="6" t="s">
        <v>552</v>
      </c>
    </row>
    <row r="19" ht="25" customHeight="1" spans="1:12">
      <c r="A19" s="10" t="s">
        <v>22</v>
      </c>
      <c r="B19" s="11" t="s">
        <v>24</v>
      </c>
      <c r="C19" s="12">
        <v>0.7</v>
      </c>
      <c r="D19" s="13">
        <v>16</v>
      </c>
      <c r="E19" s="13">
        <v>20</v>
      </c>
      <c r="F19" s="21">
        <f t="shared" ref="F19:F45" si="0">D19/E19</f>
        <v>0.8</v>
      </c>
      <c r="G19" s="13">
        <v>0.586</v>
      </c>
      <c r="H19" s="13">
        <f>C19*IF(F19&gt;=0.8,1.2,IF(F19&gt;=0.5,1,IF(F19&gt;=0.2,0.7,IF(F19&gt;=0.1,0.5,0))))*IF(G19&gt;0.5,1.2,IF(G19&gt;0.3,1,IF(G19&gt;0.1,0.7,0.5)))</f>
        <v>1.008</v>
      </c>
      <c r="I19" s="25">
        <f>H19/SUM($H$19:$H$23)*(25/10)</f>
        <v>0.864197530864197</v>
      </c>
      <c r="J19" s="26">
        <f t="shared" ref="J19:J45" si="1">ROUND(I19,1)</f>
        <v>0.9</v>
      </c>
      <c r="K19" s="26">
        <v>0.9</v>
      </c>
      <c r="L19" s="26"/>
    </row>
    <row r="20" ht="25" customHeight="1" spans="1:12">
      <c r="A20" s="14"/>
      <c r="B20" s="11" t="s">
        <v>40</v>
      </c>
      <c r="C20" s="12">
        <v>0.7</v>
      </c>
      <c r="D20" s="13">
        <v>18</v>
      </c>
      <c r="E20" s="13">
        <v>20</v>
      </c>
      <c r="F20" s="21">
        <f t="shared" si="0"/>
        <v>0.9</v>
      </c>
      <c r="G20" s="13">
        <v>0.47</v>
      </c>
      <c r="H20" s="13">
        <f>C20*IF(F20&gt;=0.8,1.2,IF(F20&gt;=0.5,1,IF(F20&gt;=0.2,0.7,IF(F20&gt;=0.1,0.5,0))))*IF(G20&gt;0.5,1.2,IF(G20&gt;0.3,1,IF(G20&gt;0.1,0.7,0.5)))</f>
        <v>0.84</v>
      </c>
      <c r="I20" s="27">
        <f>H20/SUM($H$19:$H$23)*(25/10)</f>
        <v>0.720164609053498</v>
      </c>
      <c r="J20" s="26">
        <f t="shared" si="1"/>
        <v>0.7</v>
      </c>
      <c r="K20" s="13">
        <v>0.7</v>
      </c>
      <c r="L20" s="13"/>
    </row>
    <row r="21" ht="25" customHeight="1" spans="1:12">
      <c r="A21" s="14"/>
      <c r="B21" s="11" t="s">
        <v>52</v>
      </c>
      <c r="C21" s="12">
        <v>0.2</v>
      </c>
      <c r="D21" s="13">
        <v>20</v>
      </c>
      <c r="E21" s="13">
        <v>20</v>
      </c>
      <c r="F21" s="21">
        <f t="shared" si="0"/>
        <v>1</v>
      </c>
      <c r="G21" s="13">
        <v>0.185</v>
      </c>
      <c r="H21" s="13">
        <f>C21*IF(F21&gt;=0.8,1.2,IF(F21&gt;=0.5,1,IF(F21&gt;=0.2,0.7,IF(F21&gt;=0.1,0.5,0))))*IF(G21&gt;0.5,1.2,IF(G21&gt;0.3,1,IF(G21&gt;0.1,0.7,0.5)))</f>
        <v>0.168</v>
      </c>
      <c r="I21" s="27">
        <f>H21/SUM($H$19:$H$23)*(25/10)</f>
        <v>0.1440329218107</v>
      </c>
      <c r="J21" s="26">
        <f t="shared" si="1"/>
        <v>0.1</v>
      </c>
      <c r="K21" s="13">
        <v>0.1</v>
      </c>
      <c r="L21" s="13"/>
    </row>
    <row r="22" ht="25" customHeight="1" spans="1:12">
      <c r="A22" s="14"/>
      <c r="B22" s="11" t="s">
        <v>64</v>
      </c>
      <c r="C22" s="12">
        <v>0.7</v>
      </c>
      <c r="D22" s="13">
        <v>15</v>
      </c>
      <c r="E22" s="13">
        <v>20</v>
      </c>
      <c r="F22" s="21">
        <f t="shared" si="0"/>
        <v>0.75</v>
      </c>
      <c r="G22" s="13">
        <v>0.25</v>
      </c>
      <c r="H22" s="13">
        <v>0.7</v>
      </c>
      <c r="I22" s="27">
        <f>H22/SUM($H$19:$H$23)*(25/10)</f>
        <v>0.600137174211248</v>
      </c>
      <c r="J22" s="26">
        <f t="shared" si="1"/>
        <v>0.6</v>
      </c>
      <c r="K22" s="13">
        <v>0.6</v>
      </c>
      <c r="L22" s="28" t="s">
        <v>1468</v>
      </c>
    </row>
    <row r="23" ht="25" customHeight="1" spans="1:12">
      <c r="A23" s="15"/>
      <c r="B23" s="11" t="s">
        <v>81</v>
      </c>
      <c r="C23" s="12">
        <v>0.2</v>
      </c>
      <c r="D23" s="13">
        <v>5</v>
      </c>
      <c r="E23" s="13">
        <v>20</v>
      </c>
      <c r="F23" s="21">
        <f t="shared" si="0"/>
        <v>0.25</v>
      </c>
      <c r="G23" s="13">
        <v>0</v>
      </c>
      <c r="H23" s="13">
        <v>0.2</v>
      </c>
      <c r="I23" s="27">
        <f>H23/SUM($H$19:$H$23)*(25/10)</f>
        <v>0.171467764060357</v>
      </c>
      <c r="J23" s="26">
        <f t="shared" si="1"/>
        <v>0.2</v>
      </c>
      <c r="K23" s="13">
        <v>0.2</v>
      </c>
      <c r="L23" s="15"/>
    </row>
    <row r="24" ht="25" customHeight="1" spans="1:12">
      <c r="A24" s="10" t="s">
        <v>530</v>
      </c>
      <c r="B24" s="11" t="s">
        <v>116</v>
      </c>
      <c r="C24" s="12">
        <v>0.7</v>
      </c>
      <c r="D24" s="13">
        <v>20</v>
      </c>
      <c r="E24" s="13">
        <v>20</v>
      </c>
      <c r="F24" s="21">
        <f t="shared" si="0"/>
        <v>1</v>
      </c>
      <c r="G24" s="13">
        <v>0.18</v>
      </c>
      <c r="H24" s="13">
        <f t="shared" ref="H24:H45" si="2">C24*IF(F24&gt;=0.8,1.2,IF(F24&gt;=0.5,1,IF(F24&gt;=0.2,0.7,IF(F24&gt;=0.1,0.5,0))))*IF(G24&gt;0.5,1.2,IF(G24&gt;0.3,1,IF(G24&gt;0.1,0.7,0.5)))</f>
        <v>0.588</v>
      </c>
      <c r="I24" s="27">
        <f>H24/SUM($H$24:$H$27)*(20/10)</f>
        <v>0.494949494949495</v>
      </c>
      <c r="J24" s="26">
        <f t="shared" si="1"/>
        <v>0.5</v>
      </c>
      <c r="K24" s="13">
        <v>0.5</v>
      </c>
      <c r="L24" s="13"/>
    </row>
    <row r="25" ht="25" customHeight="1" spans="1:12">
      <c r="A25" s="14"/>
      <c r="B25" s="11" t="s">
        <v>144</v>
      </c>
      <c r="C25" s="12">
        <v>0.7</v>
      </c>
      <c r="D25" s="13">
        <v>19</v>
      </c>
      <c r="E25" s="13">
        <v>20</v>
      </c>
      <c r="F25" s="21">
        <f t="shared" si="0"/>
        <v>0.95</v>
      </c>
      <c r="G25" s="13">
        <v>0.551</v>
      </c>
      <c r="H25" s="13">
        <f t="shared" si="2"/>
        <v>1.008</v>
      </c>
      <c r="I25" s="27">
        <f>H25/SUM($H$24:$H$27)*(20/10)</f>
        <v>0.848484848484849</v>
      </c>
      <c r="J25" s="26">
        <f t="shared" si="1"/>
        <v>0.8</v>
      </c>
      <c r="K25" s="13">
        <v>0.8</v>
      </c>
      <c r="L25" s="13"/>
    </row>
    <row r="26" ht="25" customHeight="1" spans="1:12">
      <c r="A26" s="14"/>
      <c r="B26" s="11" t="s">
        <v>155</v>
      </c>
      <c r="C26" s="12">
        <v>0.5</v>
      </c>
      <c r="D26" s="13">
        <v>17</v>
      </c>
      <c r="E26" s="13">
        <v>20</v>
      </c>
      <c r="F26" s="21">
        <f t="shared" si="0"/>
        <v>0.85</v>
      </c>
      <c r="G26" s="13">
        <v>0.502</v>
      </c>
      <c r="H26" s="13">
        <f t="shared" si="2"/>
        <v>0.72</v>
      </c>
      <c r="I26" s="27">
        <f>H26/SUM($H$24:$H$27)*(20/10)</f>
        <v>0.606060606060606</v>
      </c>
      <c r="J26" s="26">
        <f t="shared" si="1"/>
        <v>0.6</v>
      </c>
      <c r="K26" s="13">
        <v>0.6</v>
      </c>
      <c r="L26" s="13"/>
    </row>
    <row r="27" ht="25" customHeight="1" spans="1:12">
      <c r="A27" s="15"/>
      <c r="B27" s="11" t="s">
        <v>166</v>
      </c>
      <c r="C27" s="12">
        <v>0.1</v>
      </c>
      <c r="D27" s="13">
        <v>3</v>
      </c>
      <c r="E27" s="13">
        <v>20</v>
      </c>
      <c r="F27" s="21">
        <f t="shared" si="0"/>
        <v>0.15</v>
      </c>
      <c r="G27" s="13">
        <v>2.836</v>
      </c>
      <c r="H27" s="13">
        <f t="shared" si="2"/>
        <v>0.06</v>
      </c>
      <c r="I27" s="27">
        <f>H27/SUM($H$24:$H$27)*(20/10)</f>
        <v>0.0505050505050505</v>
      </c>
      <c r="J27" s="26">
        <f t="shared" si="1"/>
        <v>0.1</v>
      </c>
      <c r="K27" s="13">
        <v>0.1</v>
      </c>
      <c r="L27" s="13"/>
    </row>
    <row r="28" ht="25" customHeight="1" spans="1:12">
      <c r="A28" s="10" t="s">
        <v>200</v>
      </c>
      <c r="B28" s="11" t="s">
        <v>234</v>
      </c>
      <c r="C28" s="12">
        <v>0.7</v>
      </c>
      <c r="D28" s="13">
        <v>15</v>
      </c>
      <c r="E28" s="13">
        <v>20</v>
      </c>
      <c r="F28" s="21">
        <f t="shared" si="0"/>
        <v>0.75</v>
      </c>
      <c r="G28" s="13">
        <v>0.739</v>
      </c>
      <c r="H28" s="13">
        <f t="shared" si="2"/>
        <v>0.84</v>
      </c>
      <c r="I28" s="27">
        <f t="shared" ref="I28:I45" si="3">H28/SUM($H$28:$H$45)*(55/10)</f>
        <v>0.712962962962963</v>
      </c>
      <c r="J28" s="26">
        <f t="shared" si="1"/>
        <v>0.7</v>
      </c>
      <c r="K28" s="13">
        <v>0.7</v>
      </c>
      <c r="L28" s="13"/>
    </row>
    <row r="29" ht="25" customHeight="1" spans="1:12">
      <c r="A29" s="14"/>
      <c r="B29" s="11" t="s">
        <v>247</v>
      </c>
      <c r="C29" s="12">
        <v>0.7</v>
      </c>
      <c r="D29" s="13">
        <v>14</v>
      </c>
      <c r="E29" s="13">
        <v>20</v>
      </c>
      <c r="F29" s="21">
        <f t="shared" si="0"/>
        <v>0.7</v>
      </c>
      <c r="G29" s="13">
        <v>1.02</v>
      </c>
      <c r="H29" s="13">
        <f t="shared" si="2"/>
        <v>0.84</v>
      </c>
      <c r="I29" s="27">
        <f t="shared" si="3"/>
        <v>0.712962962962963</v>
      </c>
      <c r="J29" s="26">
        <f t="shared" si="1"/>
        <v>0.7</v>
      </c>
      <c r="K29" s="13">
        <v>0.7</v>
      </c>
      <c r="L29" s="13"/>
    </row>
    <row r="30" ht="25" customHeight="1" spans="1:12">
      <c r="A30" s="14"/>
      <c r="B30" s="11" t="s">
        <v>261</v>
      </c>
      <c r="C30" s="12">
        <v>0.7</v>
      </c>
      <c r="D30" s="13">
        <v>14</v>
      </c>
      <c r="E30" s="13">
        <v>20</v>
      </c>
      <c r="F30" s="21">
        <f t="shared" si="0"/>
        <v>0.7</v>
      </c>
      <c r="G30" s="13">
        <v>0.994</v>
      </c>
      <c r="H30" s="13">
        <f t="shared" si="2"/>
        <v>0.84</v>
      </c>
      <c r="I30" s="27">
        <f t="shared" si="3"/>
        <v>0.712962962962963</v>
      </c>
      <c r="J30" s="26">
        <f t="shared" si="1"/>
        <v>0.7</v>
      </c>
      <c r="K30" s="13">
        <v>0.7</v>
      </c>
      <c r="L30" s="13"/>
    </row>
    <row r="31" ht="25" customHeight="1" spans="1:12">
      <c r="A31" s="14"/>
      <c r="B31" s="11" t="s">
        <v>280</v>
      </c>
      <c r="C31" s="12">
        <v>0.2</v>
      </c>
      <c r="D31" s="13">
        <v>16</v>
      </c>
      <c r="E31" s="13">
        <v>20</v>
      </c>
      <c r="F31" s="21">
        <f t="shared" si="0"/>
        <v>0.8</v>
      </c>
      <c r="G31" s="13">
        <v>1.242</v>
      </c>
      <c r="H31" s="13">
        <f t="shared" si="2"/>
        <v>0.288</v>
      </c>
      <c r="I31" s="27">
        <f t="shared" si="3"/>
        <v>0.244444444444444</v>
      </c>
      <c r="J31" s="26">
        <f t="shared" si="1"/>
        <v>0.2</v>
      </c>
      <c r="K31" s="13">
        <v>0.2</v>
      </c>
      <c r="L31" s="13"/>
    </row>
    <row r="32" ht="25" customHeight="1" spans="1:12">
      <c r="A32" s="14"/>
      <c r="B32" s="11" t="s">
        <v>1400</v>
      </c>
      <c r="C32" s="12">
        <v>0.2</v>
      </c>
      <c r="D32" s="13">
        <v>12</v>
      </c>
      <c r="E32" s="13">
        <v>20</v>
      </c>
      <c r="F32" s="21">
        <f t="shared" si="0"/>
        <v>0.6</v>
      </c>
      <c r="G32" s="13">
        <v>1.123</v>
      </c>
      <c r="H32" s="13">
        <f t="shared" si="2"/>
        <v>0.24</v>
      </c>
      <c r="I32" s="27">
        <f t="shared" si="3"/>
        <v>0.203703703703704</v>
      </c>
      <c r="J32" s="26">
        <f t="shared" si="1"/>
        <v>0.2</v>
      </c>
      <c r="K32" s="13">
        <v>0.2</v>
      </c>
      <c r="L32" s="13"/>
    </row>
    <row r="33" ht="25" customHeight="1" spans="1:12">
      <c r="A33" s="14"/>
      <c r="B33" s="11" t="s">
        <v>307</v>
      </c>
      <c r="C33" s="12">
        <v>0.2</v>
      </c>
      <c r="D33" s="13">
        <v>19</v>
      </c>
      <c r="E33" s="13">
        <v>20</v>
      </c>
      <c r="F33" s="21">
        <f t="shared" si="0"/>
        <v>0.95</v>
      </c>
      <c r="G33" s="13">
        <v>0.511</v>
      </c>
      <c r="H33" s="13">
        <f t="shared" si="2"/>
        <v>0.288</v>
      </c>
      <c r="I33" s="27">
        <f t="shared" si="3"/>
        <v>0.244444444444444</v>
      </c>
      <c r="J33" s="26">
        <f t="shared" si="1"/>
        <v>0.2</v>
      </c>
      <c r="K33" s="13">
        <v>0.2</v>
      </c>
      <c r="L33" s="13"/>
    </row>
    <row r="34" ht="25" customHeight="1" spans="1:12">
      <c r="A34" s="14"/>
      <c r="B34" s="11" t="s">
        <v>327</v>
      </c>
      <c r="C34" s="12">
        <v>0.1</v>
      </c>
      <c r="D34" s="13">
        <v>19</v>
      </c>
      <c r="E34" s="13">
        <v>20</v>
      </c>
      <c r="F34" s="21">
        <f t="shared" si="0"/>
        <v>0.95</v>
      </c>
      <c r="G34" s="13">
        <v>0.265</v>
      </c>
      <c r="H34" s="13">
        <f t="shared" si="2"/>
        <v>0.084</v>
      </c>
      <c r="I34" s="27">
        <f t="shared" si="3"/>
        <v>0.0712962962962963</v>
      </c>
      <c r="J34" s="26">
        <f t="shared" si="1"/>
        <v>0.1</v>
      </c>
      <c r="K34" s="13">
        <v>0.1</v>
      </c>
      <c r="L34" s="13"/>
    </row>
    <row r="35" ht="25" customHeight="1" spans="1:12">
      <c r="A35" s="14"/>
      <c r="B35" s="11" t="s">
        <v>342</v>
      </c>
      <c r="C35" s="12">
        <v>0.1</v>
      </c>
      <c r="D35" s="13">
        <v>20</v>
      </c>
      <c r="E35" s="13">
        <v>20</v>
      </c>
      <c r="F35" s="21">
        <f t="shared" si="0"/>
        <v>1</v>
      </c>
      <c r="G35" s="13">
        <v>0.327</v>
      </c>
      <c r="H35" s="13">
        <f t="shared" si="2"/>
        <v>0.12</v>
      </c>
      <c r="I35" s="27">
        <f t="shared" si="3"/>
        <v>0.101851851851852</v>
      </c>
      <c r="J35" s="26">
        <f t="shared" si="1"/>
        <v>0.1</v>
      </c>
      <c r="K35" s="13">
        <v>0.1</v>
      </c>
      <c r="L35" s="13"/>
    </row>
    <row r="36" ht="25" customHeight="1" spans="1:12">
      <c r="A36" s="14"/>
      <c r="B36" s="11" t="s">
        <v>351</v>
      </c>
      <c r="C36" s="12">
        <v>0.3</v>
      </c>
      <c r="D36" s="13">
        <v>20</v>
      </c>
      <c r="E36" s="13">
        <v>20</v>
      </c>
      <c r="F36" s="21">
        <f t="shared" si="0"/>
        <v>1</v>
      </c>
      <c r="G36" s="13">
        <v>0.724</v>
      </c>
      <c r="H36" s="13">
        <f t="shared" si="2"/>
        <v>0.432</v>
      </c>
      <c r="I36" s="27">
        <f t="shared" si="3"/>
        <v>0.366666666666667</v>
      </c>
      <c r="J36" s="26">
        <f t="shared" si="1"/>
        <v>0.4</v>
      </c>
      <c r="K36" s="13">
        <v>0.4</v>
      </c>
      <c r="L36" s="13"/>
    </row>
    <row r="37" ht="25" customHeight="1" spans="1:12">
      <c r="A37" s="14"/>
      <c r="B37" s="11" t="s">
        <v>369</v>
      </c>
      <c r="C37" s="12">
        <v>0.2</v>
      </c>
      <c r="D37" s="13">
        <v>20</v>
      </c>
      <c r="E37" s="13">
        <v>20</v>
      </c>
      <c r="F37" s="21">
        <f t="shared" si="0"/>
        <v>1</v>
      </c>
      <c r="G37" s="13">
        <v>0.553</v>
      </c>
      <c r="H37" s="13">
        <f t="shared" si="2"/>
        <v>0.288</v>
      </c>
      <c r="I37" s="27">
        <f t="shared" si="3"/>
        <v>0.244444444444444</v>
      </c>
      <c r="J37" s="26">
        <f t="shared" si="1"/>
        <v>0.2</v>
      </c>
      <c r="K37" s="13">
        <v>0.2</v>
      </c>
      <c r="L37" s="13"/>
    </row>
    <row r="38" ht="25" customHeight="1" spans="1:12">
      <c r="A38" s="14"/>
      <c r="B38" s="11" t="s">
        <v>391</v>
      </c>
      <c r="C38" s="12">
        <v>0.2</v>
      </c>
      <c r="D38" s="13">
        <v>7</v>
      </c>
      <c r="E38" s="13">
        <v>20</v>
      </c>
      <c r="F38" s="21">
        <f t="shared" si="0"/>
        <v>0.35</v>
      </c>
      <c r="G38" s="13">
        <v>3.012</v>
      </c>
      <c r="H38" s="13">
        <f t="shared" si="2"/>
        <v>0.168</v>
      </c>
      <c r="I38" s="27">
        <f t="shared" si="3"/>
        <v>0.142592592592593</v>
      </c>
      <c r="J38" s="26">
        <f t="shared" si="1"/>
        <v>0.1</v>
      </c>
      <c r="K38" s="13">
        <v>0.1</v>
      </c>
      <c r="L38" s="13"/>
    </row>
    <row r="39" ht="25" customHeight="1" spans="1:12">
      <c r="A39" s="14"/>
      <c r="B39" s="11" t="s">
        <v>404</v>
      </c>
      <c r="C39" s="12">
        <v>0.1</v>
      </c>
      <c r="D39" s="13">
        <v>19</v>
      </c>
      <c r="E39" s="13">
        <v>20</v>
      </c>
      <c r="F39" s="21">
        <f t="shared" si="0"/>
        <v>0.95</v>
      </c>
      <c r="G39" s="13">
        <v>0.757</v>
      </c>
      <c r="H39" s="13">
        <f t="shared" si="2"/>
        <v>0.144</v>
      </c>
      <c r="I39" s="27">
        <f t="shared" si="3"/>
        <v>0.122222222222222</v>
      </c>
      <c r="J39" s="26">
        <f t="shared" si="1"/>
        <v>0.1</v>
      </c>
      <c r="K39" s="13">
        <v>0.1</v>
      </c>
      <c r="L39" s="13"/>
    </row>
    <row r="40" ht="25" customHeight="1" spans="1:12">
      <c r="A40" s="14"/>
      <c r="B40" s="11" t="s">
        <v>464</v>
      </c>
      <c r="C40" s="12">
        <v>0.3</v>
      </c>
      <c r="D40" s="13">
        <v>18</v>
      </c>
      <c r="E40" s="13">
        <v>20</v>
      </c>
      <c r="F40" s="21">
        <f t="shared" si="0"/>
        <v>0.9</v>
      </c>
      <c r="G40" s="13">
        <v>0.443</v>
      </c>
      <c r="H40" s="13">
        <f t="shared" si="2"/>
        <v>0.36</v>
      </c>
      <c r="I40" s="27">
        <f t="shared" si="3"/>
        <v>0.305555555555556</v>
      </c>
      <c r="J40" s="26">
        <f t="shared" si="1"/>
        <v>0.3</v>
      </c>
      <c r="K40" s="13">
        <v>0.3</v>
      </c>
      <c r="L40" s="13"/>
    </row>
    <row r="41" ht="25" customHeight="1" spans="1:12">
      <c r="A41" s="14"/>
      <c r="B41" s="11" t="s">
        <v>467</v>
      </c>
      <c r="C41" s="12">
        <v>0.3</v>
      </c>
      <c r="D41" s="13">
        <v>20</v>
      </c>
      <c r="E41" s="13">
        <v>20</v>
      </c>
      <c r="F41" s="21">
        <f t="shared" si="0"/>
        <v>1</v>
      </c>
      <c r="G41" s="13">
        <v>0.928</v>
      </c>
      <c r="H41" s="13">
        <f t="shared" si="2"/>
        <v>0.432</v>
      </c>
      <c r="I41" s="27">
        <f t="shared" si="3"/>
        <v>0.366666666666667</v>
      </c>
      <c r="J41" s="26">
        <f t="shared" si="1"/>
        <v>0.4</v>
      </c>
      <c r="K41" s="13">
        <v>0.3</v>
      </c>
      <c r="L41" s="13"/>
    </row>
    <row r="42" ht="25" customHeight="1" spans="1:12">
      <c r="A42" s="14"/>
      <c r="B42" s="11" t="s">
        <v>470</v>
      </c>
      <c r="C42" s="12">
        <v>0.3</v>
      </c>
      <c r="D42" s="13">
        <v>18</v>
      </c>
      <c r="E42" s="13">
        <v>20</v>
      </c>
      <c r="F42" s="21">
        <f t="shared" si="0"/>
        <v>0.9</v>
      </c>
      <c r="G42" s="13">
        <v>0.459</v>
      </c>
      <c r="H42" s="13">
        <f t="shared" si="2"/>
        <v>0.36</v>
      </c>
      <c r="I42" s="27">
        <f t="shared" si="3"/>
        <v>0.305555555555556</v>
      </c>
      <c r="J42" s="26">
        <f t="shared" si="1"/>
        <v>0.3</v>
      </c>
      <c r="K42" s="13">
        <v>0.3</v>
      </c>
      <c r="L42" s="13"/>
    </row>
    <row r="43" ht="25" customHeight="1" spans="1:12">
      <c r="A43" s="14"/>
      <c r="B43" s="11" t="s">
        <v>473</v>
      </c>
      <c r="C43" s="12">
        <v>0.3</v>
      </c>
      <c r="D43" s="13">
        <v>20</v>
      </c>
      <c r="E43" s="13">
        <v>20</v>
      </c>
      <c r="F43" s="21">
        <f t="shared" si="0"/>
        <v>1</v>
      </c>
      <c r="G43" s="13">
        <v>0.228</v>
      </c>
      <c r="H43" s="13">
        <f t="shared" si="2"/>
        <v>0.252</v>
      </c>
      <c r="I43" s="27">
        <f t="shared" si="3"/>
        <v>0.213888888888889</v>
      </c>
      <c r="J43" s="26">
        <f t="shared" si="1"/>
        <v>0.2</v>
      </c>
      <c r="K43" s="13">
        <v>0.3</v>
      </c>
      <c r="L43" s="13"/>
    </row>
    <row r="44" ht="25" customHeight="1" spans="1:12">
      <c r="A44" s="14"/>
      <c r="B44" s="11" t="s">
        <v>476</v>
      </c>
      <c r="C44" s="12">
        <v>0.3</v>
      </c>
      <c r="D44" s="13">
        <v>20</v>
      </c>
      <c r="E44" s="13">
        <v>20</v>
      </c>
      <c r="F44" s="21">
        <f t="shared" si="0"/>
        <v>1</v>
      </c>
      <c r="G44" s="13">
        <v>0.277</v>
      </c>
      <c r="H44" s="13">
        <f t="shared" si="2"/>
        <v>0.252</v>
      </c>
      <c r="I44" s="27">
        <f t="shared" si="3"/>
        <v>0.213888888888889</v>
      </c>
      <c r="J44" s="26">
        <f t="shared" si="1"/>
        <v>0.2</v>
      </c>
      <c r="K44" s="13">
        <v>0.3</v>
      </c>
      <c r="L44" s="13"/>
    </row>
    <row r="45" ht="25" customHeight="1" spans="1:12">
      <c r="A45" s="15"/>
      <c r="B45" s="11" t="s">
        <v>479</v>
      </c>
      <c r="C45" s="12">
        <v>0.3</v>
      </c>
      <c r="D45" s="13">
        <v>7</v>
      </c>
      <c r="E45" s="13">
        <v>20</v>
      </c>
      <c r="F45" s="21">
        <f t="shared" si="0"/>
        <v>0.35</v>
      </c>
      <c r="G45" s="13">
        <v>0.755</v>
      </c>
      <c r="H45" s="13">
        <f t="shared" si="2"/>
        <v>0.252</v>
      </c>
      <c r="I45" s="27">
        <f t="shared" si="3"/>
        <v>0.213888888888889</v>
      </c>
      <c r="J45" s="26">
        <f t="shared" si="1"/>
        <v>0.2</v>
      </c>
      <c r="K45" s="13">
        <v>0.3</v>
      </c>
      <c r="L45" s="13"/>
    </row>
    <row r="47" ht="17.6" customHeight="1" spans="1:1">
      <c r="A47" s="5" t="s">
        <v>1469</v>
      </c>
    </row>
    <row r="48" ht="120" customHeight="1" spans="1:1">
      <c r="A48" s="3" t="s">
        <v>1470</v>
      </c>
    </row>
    <row r="53" ht="17" customHeight="1" spans="1:10">
      <c r="A53" s="16" t="s">
        <v>2</v>
      </c>
      <c r="B53" s="17" t="s">
        <v>1471</v>
      </c>
      <c r="G53" s="8"/>
      <c r="J53" s="8"/>
    </row>
    <row r="54" ht="17" customHeight="1" spans="1:10">
      <c r="A54" s="18" t="s">
        <v>24</v>
      </c>
      <c r="B54" s="19" t="s">
        <v>1472</v>
      </c>
      <c r="C54" s="20"/>
      <c r="D54" s="20"/>
      <c r="E54" s="20"/>
      <c r="F54" s="22"/>
      <c r="G54" s="23"/>
      <c r="H54" s="23"/>
      <c r="I54" s="23"/>
      <c r="J54" s="23"/>
    </row>
    <row r="55" ht="17" customHeight="1" spans="1:10">
      <c r="A55" s="18" t="s">
        <v>40</v>
      </c>
      <c r="B55" s="19" t="s">
        <v>1473</v>
      </c>
      <c r="C55" s="20"/>
      <c r="D55" s="20"/>
      <c r="E55" s="20"/>
      <c r="F55" s="22"/>
      <c r="G55" s="24"/>
      <c r="H55" s="24"/>
      <c r="I55" s="24"/>
      <c r="J55" s="24"/>
    </row>
    <row r="56" ht="17" customHeight="1" spans="1:10">
      <c r="A56" s="18" t="s">
        <v>52</v>
      </c>
      <c r="B56" s="19" t="s">
        <v>1474</v>
      </c>
      <c r="C56" s="20"/>
      <c r="D56" s="20"/>
      <c r="E56" s="20"/>
      <c r="F56" s="22"/>
      <c r="G56" s="24"/>
      <c r="H56" s="24"/>
      <c r="I56" s="24"/>
      <c r="J56" s="24"/>
    </row>
    <row r="57" ht="17" customHeight="1" spans="1:10">
      <c r="A57" s="18" t="s">
        <v>64</v>
      </c>
      <c r="B57" s="19" t="s">
        <v>1475</v>
      </c>
      <c r="C57" s="20"/>
      <c r="D57" s="20"/>
      <c r="E57" s="20"/>
      <c r="F57" s="22"/>
      <c r="G57" s="24"/>
      <c r="H57" s="24"/>
      <c r="I57" s="24"/>
      <c r="J57" s="24"/>
    </row>
    <row r="58" ht="17" customHeight="1" spans="1:10">
      <c r="A58" s="18" t="s">
        <v>81</v>
      </c>
      <c r="B58" s="19" t="s">
        <v>1476</v>
      </c>
      <c r="C58" s="20"/>
      <c r="D58" s="20"/>
      <c r="E58" s="20"/>
      <c r="F58" s="22"/>
      <c r="G58" s="24"/>
      <c r="H58" s="24"/>
      <c r="I58" s="24"/>
      <c r="J58" s="24"/>
    </row>
    <row r="59" ht="17" customHeight="1" spans="1:10">
      <c r="A59" s="18" t="s">
        <v>116</v>
      </c>
      <c r="B59" s="19" t="s">
        <v>1477</v>
      </c>
      <c r="C59" s="20"/>
      <c r="D59" s="20"/>
      <c r="E59" s="20"/>
      <c r="F59" s="22"/>
      <c r="G59" s="24"/>
      <c r="H59" s="24"/>
      <c r="I59" s="24"/>
      <c r="J59" s="24"/>
    </row>
    <row r="60" ht="17" customHeight="1" spans="1:10">
      <c r="A60" s="18" t="s">
        <v>144</v>
      </c>
      <c r="B60" s="19" t="s">
        <v>1478</v>
      </c>
      <c r="C60" s="20"/>
      <c r="D60" s="20"/>
      <c r="E60" s="20"/>
      <c r="F60" s="22"/>
      <c r="G60" s="24"/>
      <c r="H60" s="24"/>
      <c r="I60" s="24"/>
      <c r="J60" s="24"/>
    </row>
    <row r="61" ht="17" customHeight="1" spans="1:10">
      <c r="A61" s="18" t="s">
        <v>155</v>
      </c>
      <c r="B61" s="19" t="s">
        <v>1479</v>
      </c>
      <c r="C61" s="20"/>
      <c r="D61" s="20"/>
      <c r="E61" s="20"/>
      <c r="F61" s="22"/>
      <c r="G61" s="24"/>
      <c r="H61" s="24"/>
      <c r="I61" s="24"/>
      <c r="J61" s="24"/>
    </row>
    <row r="62" ht="17" customHeight="1" spans="1:10">
      <c r="A62" s="18" t="s">
        <v>166</v>
      </c>
      <c r="B62" s="19" t="s">
        <v>1480</v>
      </c>
      <c r="C62" s="20"/>
      <c r="D62" s="20"/>
      <c r="E62" s="20"/>
      <c r="F62" s="22"/>
      <c r="G62" s="24"/>
      <c r="H62" s="24"/>
      <c r="I62" s="24"/>
      <c r="J62" s="24"/>
    </row>
    <row r="63" ht="17" customHeight="1" spans="1:10">
      <c r="A63" s="18" t="s">
        <v>234</v>
      </c>
      <c r="B63" s="19" t="s">
        <v>1481</v>
      </c>
      <c r="C63" s="20"/>
      <c r="D63" s="20"/>
      <c r="E63" s="20"/>
      <c r="F63" s="22"/>
      <c r="G63" s="24"/>
      <c r="H63" s="24"/>
      <c r="I63" s="24"/>
      <c r="J63" s="24"/>
    </row>
    <row r="64" ht="17" customHeight="1" spans="1:10">
      <c r="A64" s="18" t="s">
        <v>247</v>
      </c>
      <c r="B64" s="19" t="s">
        <v>1482</v>
      </c>
      <c r="C64" s="20"/>
      <c r="D64" s="20"/>
      <c r="E64" s="20"/>
      <c r="F64" s="22"/>
      <c r="G64" s="24"/>
      <c r="H64" s="24"/>
      <c r="I64" s="24"/>
      <c r="J64" s="24"/>
    </row>
    <row r="65" ht="17" customHeight="1" spans="1:10">
      <c r="A65" s="18" t="s">
        <v>261</v>
      </c>
      <c r="B65" s="19" t="s">
        <v>1483</v>
      </c>
      <c r="C65" s="20"/>
      <c r="D65" s="20"/>
      <c r="E65" s="20"/>
      <c r="F65" s="22"/>
      <c r="G65" s="24"/>
      <c r="H65" s="24"/>
      <c r="I65" s="24"/>
      <c r="J65" s="24"/>
    </row>
    <row r="66" ht="17" customHeight="1" spans="1:10">
      <c r="A66" s="18" t="s">
        <v>280</v>
      </c>
      <c r="B66" s="19" t="s">
        <v>1484</v>
      </c>
      <c r="C66" s="20"/>
      <c r="D66" s="20"/>
      <c r="E66" s="20"/>
      <c r="F66" s="22"/>
      <c r="G66" s="24"/>
      <c r="H66" s="24"/>
      <c r="I66" s="24"/>
      <c r="J66" s="24"/>
    </row>
    <row r="67" ht="17" customHeight="1" spans="1:10">
      <c r="A67" s="18" t="s">
        <v>1400</v>
      </c>
      <c r="B67" s="19" t="s">
        <v>1485</v>
      </c>
      <c r="C67" s="20"/>
      <c r="D67" s="20"/>
      <c r="E67" s="20"/>
      <c r="F67" s="22"/>
      <c r="G67" s="24"/>
      <c r="H67" s="24"/>
      <c r="I67" s="24"/>
      <c r="J67" s="24"/>
    </row>
    <row r="68" ht="17" customHeight="1" spans="1:10">
      <c r="A68" s="18" t="s">
        <v>307</v>
      </c>
      <c r="B68" s="19" t="s">
        <v>1486</v>
      </c>
      <c r="C68" s="20"/>
      <c r="D68" s="20"/>
      <c r="E68" s="20"/>
      <c r="F68" s="22"/>
      <c r="G68" s="24"/>
      <c r="H68" s="24"/>
      <c r="I68" s="24"/>
      <c r="J68" s="24"/>
    </row>
    <row r="69" ht="17" customHeight="1" spans="1:10">
      <c r="A69" s="18" t="s">
        <v>327</v>
      </c>
      <c r="B69" s="19" t="s">
        <v>1487</v>
      </c>
      <c r="C69" s="20"/>
      <c r="D69" s="20"/>
      <c r="E69" s="20"/>
      <c r="F69" s="22"/>
      <c r="G69" s="24"/>
      <c r="H69" s="24"/>
      <c r="I69" s="24"/>
      <c r="J69" s="24"/>
    </row>
    <row r="70" ht="17" customHeight="1" spans="1:10">
      <c r="A70" s="18" t="s">
        <v>342</v>
      </c>
      <c r="B70" s="19" t="s">
        <v>1488</v>
      </c>
      <c r="C70" s="20"/>
      <c r="D70" s="20"/>
      <c r="E70" s="20"/>
      <c r="F70" s="22"/>
      <c r="G70" s="24"/>
      <c r="H70" s="24"/>
      <c r="I70" s="24"/>
      <c r="J70" s="24"/>
    </row>
    <row r="71" ht="17" customHeight="1" spans="1:10">
      <c r="A71" s="18" t="s">
        <v>351</v>
      </c>
      <c r="B71" s="19" t="s">
        <v>1489</v>
      </c>
      <c r="C71" s="20"/>
      <c r="D71" s="20"/>
      <c r="E71" s="20"/>
      <c r="F71" s="22"/>
      <c r="G71" s="24"/>
      <c r="H71" s="24"/>
      <c r="I71" s="24"/>
      <c r="J71" s="24"/>
    </row>
    <row r="72" ht="17" customHeight="1" spans="1:10">
      <c r="A72" s="18" t="s">
        <v>369</v>
      </c>
      <c r="B72" s="19" t="s">
        <v>1490</v>
      </c>
      <c r="C72" s="20"/>
      <c r="D72" s="20"/>
      <c r="E72" s="20"/>
      <c r="F72" s="22"/>
      <c r="G72" s="24"/>
      <c r="H72" s="24"/>
      <c r="I72" s="24"/>
      <c r="J72" s="24"/>
    </row>
    <row r="73" ht="17" customHeight="1" spans="1:10">
      <c r="A73" s="18" t="s">
        <v>391</v>
      </c>
      <c r="B73" s="19" t="s">
        <v>1491</v>
      </c>
      <c r="C73" s="20"/>
      <c r="D73" s="20"/>
      <c r="E73" s="20"/>
      <c r="F73" s="22"/>
      <c r="G73" s="24"/>
      <c r="H73" s="24"/>
      <c r="I73" s="24"/>
      <c r="J73" s="24"/>
    </row>
    <row r="74" ht="17" customHeight="1" spans="1:10">
      <c r="A74" s="18" t="s">
        <v>404</v>
      </c>
      <c r="B74" s="19" t="s">
        <v>1492</v>
      </c>
      <c r="C74" s="20"/>
      <c r="D74" s="20"/>
      <c r="E74" s="20"/>
      <c r="F74" s="22"/>
      <c r="G74" s="24"/>
      <c r="H74" s="24"/>
      <c r="I74" s="24"/>
      <c r="J74" s="24"/>
    </row>
    <row r="75" ht="17" customHeight="1" spans="1:10">
      <c r="A75" s="18" t="s">
        <v>464</v>
      </c>
      <c r="B75" s="19" t="s">
        <v>1493</v>
      </c>
      <c r="C75" s="20"/>
      <c r="D75" s="20"/>
      <c r="E75" s="20"/>
      <c r="F75" s="22"/>
      <c r="G75" s="24"/>
      <c r="H75" s="24"/>
      <c r="I75" s="24"/>
      <c r="J75" s="24"/>
    </row>
    <row r="76" ht="17" customHeight="1" spans="1:10">
      <c r="A76" s="18" t="s">
        <v>467</v>
      </c>
      <c r="B76" s="19" t="s">
        <v>1494</v>
      </c>
      <c r="C76" s="20"/>
      <c r="D76" s="20"/>
      <c r="E76" s="20"/>
      <c r="F76" s="22"/>
      <c r="G76" s="24"/>
      <c r="H76" s="24"/>
      <c r="I76" s="24"/>
      <c r="J76" s="24"/>
    </row>
    <row r="77" ht="17" customHeight="1" spans="1:10">
      <c r="A77" s="18" t="s">
        <v>470</v>
      </c>
      <c r="B77" s="19" t="s">
        <v>1495</v>
      </c>
      <c r="C77" s="20"/>
      <c r="D77" s="20"/>
      <c r="E77" s="20"/>
      <c r="F77" s="22"/>
      <c r="G77" s="24"/>
      <c r="H77" s="24"/>
      <c r="I77" s="24"/>
      <c r="J77" s="24"/>
    </row>
    <row r="78" ht="17" customHeight="1" spans="1:10">
      <c r="A78" s="18" t="s">
        <v>473</v>
      </c>
      <c r="B78" s="19" t="s">
        <v>1496</v>
      </c>
      <c r="C78" s="20"/>
      <c r="D78" s="20"/>
      <c r="E78" s="20"/>
      <c r="F78" s="22"/>
      <c r="G78" s="24"/>
      <c r="H78" s="24"/>
      <c r="I78" s="24"/>
      <c r="J78" s="24"/>
    </row>
    <row r="79" ht="17" customHeight="1" spans="1:10">
      <c r="A79" s="18" t="s">
        <v>476</v>
      </c>
      <c r="B79" s="19" t="s">
        <v>1497</v>
      </c>
      <c r="C79" s="20"/>
      <c r="D79" s="20"/>
      <c r="E79" s="20"/>
      <c r="F79" s="22"/>
      <c r="G79" s="24"/>
      <c r="H79" s="24"/>
      <c r="I79" s="24"/>
      <c r="J79" s="24"/>
    </row>
    <row r="80" ht="17" customHeight="1" spans="1:10">
      <c r="A80" s="18" t="s">
        <v>479</v>
      </c>
      <c r="B80" s="19" t="s">
        <v>1498</v>
      </c>
      <c r="C80" s="20"/>
      <c r="D80" s="20"/>
      <c r="E80" s="20"/>
      <c r="F80" s="22"/>
      <c r="G80" s="24"/>
      <c r="H80" s="24"/>
      <c r="I80" s="24"/>
      <c r="J80" s="24"/>
    </row>
    <row r="82" ht="15.75" customHeight="1" spans="1:2">
      <c r="A82" s="29"/>
      <c r="B82" s="29"/>
    </row>
    <row r="83" ht="15.75" customHeight="1" spans="1:2">
      <c r="A83" s="29"/>
      <c r="B83" s="24"/>
    </row>
    <row r="84" ht="15.75" customHeight="1" spans="1:2">
      <c r="A84" s="29"/>
      <c r="B84" s="24"/>
    </row>
    <row r="85" ht="15.75" customHeight="1" spans="1:2">
      <c r="A85" s="29"/>
      <c r="B85" s="24"/>
    </row>
    <row r="86" ht="15.75" customHeight="1" spans="1:2">
      <c r="A86" s="29"/>
      <c r="B86" s="24"/>
    </row>
    <row r="87" ht="15.75" customHeight="1" spans="1:2">
      <c r="A87" s="29"/>
      <c r="B87" s="24"/>
    </row>
    <row r="88" ht="15.75" customHeight="1" spans="1:2">
      <c r="A88" s="29"/>
      <c r="B88" s="24"/>
    </row>
    <row r="89" ht="15.75" customHeight="1" spans="1:2">
      <c r="A89" s="29"/>
      <c r="B89" s="24"/>
    </row>
    <row r="90" ht="15.75" customHeight="1" spans="1:2">
      <c r="A90" s="29"/>
      <c r="B90" s="24"/>
    </row>
    <row r="91" ht="15.75" customHeight="1" spans="1:2">
      <c r="A91" s="29"/>
      <c r="B91" s="24"/>
    </row>
    <row r="92" ht="15.75" customHeight="1" spans="1:2">
      <c r="A92" s="29"/>
      <c r="B92" s="24"/>
    </row>
    <row r="93" ht="15.75" customHeight="1" spans="1:2">
      <c r="A93" s="29"/>
      <c r="B93" s="24"/>
    </row>
    <row r="94" ht="15.75" customHeight="1" spans="1:2">
      <c r="A94" s="29"/>
      <c r="B94" s="24"/>
    </row>
    <row r="95" ht="15.75" customHeight="1" spans="1:2">
      <c r="A95" s="29"/>
      <c r="B95" s="24"/>
    </row>
    <row r="96" ht="15.75" customHeight="1" spans="1:2">
      <c r="A96" s="29"/>
      <c r="B96" s="24"/>
    </row>
    <row r="97" ht="15.75" customHeight="1" spans="1:2">
      <c r="A97" s="29"/>
      <c r="B97" s="24"/>
    </row>
    <row r="98" ht="15.75" customHeight="1" spans="1:2">
      <c r="A98" s="29"/>
      <c r="B98" s="24"/>
    </row>
    <row r="99" ht="15.75" customHeight="1" spans="1:2">
      <c r="A99" s="29"/>
      <c r="B99" s="24"/>
    </row>
    <row r="100" ht="15.75" customHeight="1" spans="1:2">
      <c r="A100" s="29"/>
      <c r="B100" s="24"/>
    </row>
    <row r="101" ht="15.75" customHeight="1" spans="1:2">
      <c r="A101" s="29"/>
      <c r="B101" s="24"/>
    </row>
    <row r="102" ht="15.75" customHeight="1" spans="1:2">
      <c r="A102" s="29"/>
      <c r="B102" s="24"/>
    </row>
    <row r="103" ht="15.75" customHeight="1" spans="1:2">
      <c r="A103" s="29"/>
      <c r="B103" s="24"/>
    </row>
    <row r="104" ht="15.75" customHeight="1" spans="1:2">
      <c r="A104" s="29"/>
      <c r="B104" s="24"/>
    </row>
    <row r="105" ht="15.75" customHeight="1" spans="1:2">
      <c r="A105" s="29"/>
      <c r="B105" s="24"/>
    </row>
    <row r="106" ht="15.75" customHeight="1" spans="1:2">
      <c r="A106" s="29"/>
      <c r="B106" s="24"/>
    </row>
    <row r="107" ht="15.75" customHeight="1" spans="1:2">
      <c r="A107" s="29"/>
      <c r="B107" s="24"/>
    </row>
    <row r="108" ht="15.75" customHeight="1" spans="1:2">
      <c r="A108" s="29"/>
      <c r="B108" s="24"/>
    </row>
    <row r="109" ht="15.75" customHeight="1" spans="1:2">
      <c r="A109" s="29"/>
      <c r="B109" s="24"/>
    </row>
  </sheetData>
  <mergeCells count="41">
    <mergeCell ref="A1:G1"/>
    <mergeCell ref="A3:G3"/>
    <mergeCell ref="A4:G4"/>
    <mergeCell ref="A6:G6"/>
    <mergeCell ref="A14:G14"/>
    <mergeCell ref="A15:G15"/>
    <mergeCell ref="A17:G17"/>
    <mergeCell ref="A47:G47"/>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A19:A23"/>
    <mergeCell ref="A24:A27"/>
    <mergeCell ref="A28:A45"/>
    <mergeCell ref="L22:L23"/>
    <mergeCell ref="A48:G51"/>
  </mergeCells>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
  <sheetViews>
    <sheetView topLeftCell="A3" workbookViewId="0">
      <selection activeCell="A6" sqref="A6:F6"/>
    </sheetView>
  </sheetViews>
  <sheetFormatPr defaultColWidth="9" defaultRowHeight="16.8" outlineLevelCol="5"/>
  <cols>
    <col min="1" max="1" width="8" style="1" customWidth="1"/>
    <col min="2" max="2" width="25" style="1" customWidth="1"/>
    <col min="3" max="3" width="22" style="1" customWidth="1"/>
    <col min="4" max="4" width="42" style="1" customWidth="1"/>
    <col min="5" max="5" width="25" style="1" customWidth="1"/>
    <col min="6" max="6" width="42" style="1" customWidth="1"/>
  </cols>
  <sheetData>
    <row r="1" ht="20.4" customHeight="1" spans="1:1">
      <c r="A1" s="2" t="s">
        <v>1499</v>
      </c>
    </row>
    <row r="3" ht="80" customHeight="1" spans="1:1">
      <c r="A3" s="3" t="s">
        <v>1500</v>
      </c>
    </row>
    <row r="4" ht="15" customHeight="1" spans="1:6">
      <c r="A4" s="4"/>
      <c r="B4" s="4"/>
      <c r="C4" s="4"/>
      <c r="D4" s="4"/>
      <c r="E4" s="4"/>
      <c r="F4" s="4"/>
    </row>
    <row r="5" ht="17.6" customHeight="1" spans="1:1">
      <c r="A5" s="5" t="s">
        <v>1501</v>
      </c>
    </row>
    <row r="6" ht="100" customHeight="1" spans="1:1">
      <c r="A6" s="3" t="s">
        <v>1502</v>
      </c>
    </row>
    <row r="7" ht="15" customHeight="1" spans="1:6">
      <c r="A7" s="4"/>
      <c r="B7" s="4"/>
      <c r="C7" s="4"/>
      <c r="D7" s="4"/>
      <c r="E7" s="4"/>
      <c r="F7" s="4"/>
    </row>
    <row r="8" ht="17.6" customHeight="1" spans="1:1">
      <c r="A8" s="5" t="s">
        <v>1503</v>
      </c>
    </row>
    <row r="9" ht="250" customHeight="1" spans="1:1">
      <c r="A9" s="3" t="s">
        <v>1504</v>
      </c>
    </row>
    <row r="11" ht="17.6" customHeight="1" spans="1:1">
      <c r="A11" s="5" t="s">
        <v>1505</v>
      </c>
    </row>
    <row r="12" ht="150" customHeight="1" spans="1:1">
      <c r="A12" s="3" t="s">
        <v>1506</v>
      </c>
    </row>
    <row r="14" ht="17.6" customHeight="1" spans="1:1">
      <c r="A14" s="5" t="s">
        <v>1507</v>
      </c>
    </row>
    <row r="15" ht="17" customHeight="1" spans="1:6">
      <c r="A15" s="6" t="s">
        <v>1364</v>
      </c>
      <c r="B15" s="6" t="s">
        <v>2</v>
      </c>
      <c r="C15" s="6" t="s">
        <v>1508</v>
      </c>
      <c r="D15" s="6" t="s">
        <v>1509</v>
      </c>
      <c r="E15" s="6" t="s">
        <v>1510</v>
      </c>
      <c r="F15" s="6" t="s">
        <v>550</v>
      </c>
    </row>
    <row r="16" ht="35" customHeight="1" spans="1:6">
      <c r="A16" s="7">
        <v>1</v>
      </c>
      <c r="B16" s="7" t="s">
        <v>247</v>
      </c>
      <c r="C16" s="7" t="s">
        <v>1511</v>
      </c>
      <c r="D16" s="7" t="s">
        <v>1512</v>
      </c>
      <c r="E16" s="7" t="s">
        <v>1510</v>
      </c>
      <c r="F16" s="7" t="s">
        <v>1513</v>
      </c>
    </row>
    <row r="17" ht="35" customHeight="1" spans="1:6">
      <c r="A17" s="7">
        <v>2</v>
      </c>
      <c r="B17" s="7" t="s">
        <v>261</v>
      </c>
      <c r="C17" s="7" t="s">
        <v>1511</v>
      </c>
      <c r="D17" s="7" t="s">
        <v>1514</v>
      </c>
      <c r="E17" s="7" t="s">
        <v>1510</v>
      </c>
      <c r="F17" s="7" t="s">
        <v>1513</v>
      </c>
    </row>
    <row r="18" ht="35" customHeight="1" spans="1:6">
      <c r="A18" s="7">
        <v>3</v>
      </c>
      <c r="B18" s="7" t="s">
        <v>1515</v>
      </c>
      <c r="C18" s="7" t="s">
        <v>1516</v>
      </c>
      <c r="D18" s="7" t="s">
        <v>1517</v>
      </c>
      <c r="E18" s="7" t="s">
        <v>1510</v>
      </c>
      <c r="F18" s="7" t="s">
        <v>1513</v>
      </c>
    </row>
    <row r="19" ht="35" customHeight="1" spans="1:6">
      <c r="A19" s="7">
        <v>4</v>
      </c>
      <c r="B19" s="7" t="s">
        <v>1400</v>
      </c>
      <c r="C19" s="7" t="s">
        <v>1516</v>
      </c>
      <c r="D19" s="7" t="s">
        <v>1518</v>
      </c>
      <c r="E19" s="7" t="s">
        <v>1510</v>
      </c>
      <c r="F19" s="7" t="s">
        <v>1513</v>
      </c>
    </row>
    <row r="20" ht="35" customHeight="1" spans="1:6">
      <c r="A20" s="7">
        <v>5</v>
      </c>
      <c r="B20" s="7" t="s">
        <v>1519</v>
      </c>
      <c r="C20" s="7" t="s">
        <v>1511</v>
      </c>
      <c r="D20" s="7" t="s">
        <v>1520</v>
      </c>
      <c r="E20" s="7" t="s">
        <v>1510</v>
      </c>
      <c r="F20" s="7" t="s">
        <v>1513</v>
      </c>
    </row>
    <row r="21" ht="35" customHeight="1" spans="1:6">
      <c r="A21" s="7">
        <v>6</v>
      </c>
      <c r="B21" s="7" t="s">
        <v>369</v>
      </c>
      <c r="C21" s="7" t="s">
        <v>1516</v>
      </c>
      <c r="D21" s="7" t="s">
        <v>1521</v>
      </c>
      <c r="E21" s="7" t="s">
        <v>1510</v>
      </c>
      <c r="F21" s="7" t="s">
        <v>1522</v>
      </c>
    </row>
    <row r="22" ht="35" customHeight="1" spans="1:6">
      <c r="A22" s="7">
        <v>7</v>
      </c>
      <c r="B22" s="7" t="s">
        <v>391</v>
      </c>
      <c r="C22" s="7" t="s">
        <v>1516</v>
      </c>
      <c r="D22" s="7" t="s">
        <v>1523</v>
      </c>
      <c r="E22" s="7" t="s">
        <v>1510</v>
      </c>
      <c r="F22" s="7" t="s">
        <v>1513</v>
      </c>
    </row>
    <row r="23" ht="35" customHeight="1" spans="1:6">
      <c r="A23" s="7">
        <v>8</v>
      </c>
      <c r="B23" s="7" t="s">
        <v>404</v>
      </c>
      <c r="C23" s="7" t="s">
        <v>1516</v>
      </c>
      <c r="D23" s="7" t="s">
        <v>1524</v>
      </c>
      <c r="E23" s="7" t="s">
        <v>1510</v>
      </c>
      <c r="F23" s="7" t="s">
        <v>1513</v>
      </c>
    </row>
    <row r="24" ht="35" customHeight="1" spans="1:6">
      <c r="A24" s="7">
        <v>9</v>
      </c>
      <c r="B24" s="7" t="s">
        <v>479</v>
      </c>
      <c r="C24" s="7" t="s">
        <v>1516</v>
      </c>
      <c r="D24" s="7" t="s">
        <v>1525</v>
      </c>
      <c r="E24" s="7" t="s">
        <v>1510</v>
      </c>
      <c r="F24" s="7" t="s">
        <v>1513</v>
      </c>
    </row>
    <row r="25" ht="31" customHeight="1" spans="1:6">
      <c r="A25" s="7">
        <v>10</v>
      </c>
      <c r="B25" s="7" t="s">
        <v>351</v>
      </c>
      <c r="C25" s="7" t="s">
        <v>1516</v>
      </c>
      <c r="D25" s="7" t="s">
        <v>1526</v>
      </c>
      <c r="E25" s="7" t="s">
        <v>1510</v>
      </c>
      <c r="F25" s="7" t="s">
        <v>1527</v>
      </c>
    </row>
    <row r="26" ht="17.6" customHeight="1" spans="1:1">
      <c r="A26" s="5" t="s">
        <v>1528</v>
      </c>
    </row>
    <row r="27" ht="17" customHeight="1" spans="1:6">
      <c r="A27" s="6" t="s">
        <v>1364</v>
      </c>
      <c r="B27" s="6" t="s">
        <v>2</v>
      </c>
      <c r="C27" s="6" t="s">
        <v>1529</v>
      </c>
      <c r="D27" s="6" t="s">
        <v>1530</v>
      </c>
      <c r="E27" s="6" t="s">
        <v>1531</v>
      </c>
      <c r="F27" s="4"/>
    </row>
    <row r="28" ht="35" customHeight="1" spans="1:6">
      <c r="A28" s="7">
        <v>1</v>
      </c>
      <c r="B28" s="7" t="s">
        <v>1532</v>
      </c>
      <c r="C28" s="7" t="s">
        <v>1533</v>
      </c>
      <c r="D28" s="7" t="s">
        <v>1534</v>
      </c>
      <c r="E28" s="7" t="s">
        <v>1535</v>
      </c>
      <c r="F28" s="4"/>
    </row>
    <row r="29" ht="35" customHeight="1" spans="1:6">
      <c r="A29" s="7">
        <v>2</v>
      </c>
      <c r="B29" s="7" t="s">
        <v>52</v>
      </c>
      <c r="C29" s="7" t="s">
        <v>1536</v>
      </c>
      <c r="D29" s="7" t="s">
        <v>1537</v>
      </c>
      <c r="E29" s="7" t="s">
        <v>1538</v>
      </c>
      <c r="F29" s="4"/>
    </row>
    <row r="30" ht="35" customHeight="1" spans="1:6">
      <c r="A30" s="7">
        <v>3</v>
      </c>
      <c r="B30" s="7" t="s">
        <v>1539</v>
      </c>
      <c r="C30" s="7" t="s">
        <v>629</v>
      </c>
      <c r="D30" s="7" t="s">
        <v>1540</v>
      </c>
      <c r="E30" s="7" t="s">
        <v>1541</v>
      </c>
      <c r="F30" s="4"/>
    </row>
    <row r="31" ht="35" customHeight="1" spans="1:6">
      <c r="A31" s="7">
        <v>4</v>
      </c>
      <c r="B31" s="7" t="s">
        <v>1542</v>
      </c>
      <c r="C31" s="7" t="s">
        <v>629</v>
      </c>
      <c r="D31" s="7" t="s">
        <v>1540</v>
      </c>
      <c r="E31" s="7" t="s">
        <v>1543</v>
      </c>
      <c r="F31" s="4"/>
    </row>
    <row r="32" ht="35" customHeight="1" spans="1:6">
      <c r="A32" s="7">
        <v>5</v>
      </c>
      <c r="B32" s="7" t="s">
        <v>1544</v>
      </c>
      <c r="C32" s="7" t="s">
        <v>629</v>
      </c>
      <c r="D32" s="7" t="s">
        <v>1540</v>
      </c>
      <c r="E32" s="7" t="s">
        <v>1545</v>
      </c>
      <c r="F32" s="4"/>
    </row>
    <row r="33" ht="35" customHeight="1" spans="1:6">
      <c r="A33" s="7">
        <v>6</v>
      </c>
      <c r="B33" s="7" t="s">
        <v>234</v>
      </c>
      <c r="C33" s="7" t="s">
        <v>1546</v>
      </c>
      <c r="D33" s="7" t="s">
        <v>1547</v>
      </c>
      <c r="E33" s="7" t="s">
        <v>1548</v>
      </c>
      <c r="F33" s="4"/>
    </row>
    <row r="34" ht="35" customHeight="1" spans="1:6">
      <c r="A34" s="7">
        <v>7</v>
      </c>
      <c r="B34" s="7" t="s">
        <v>1549</v>
      </c>
      <c r="C34" s="7" t="s">
        <v>629</v>
      </c>
      <c r="D34" s="7" t="s">
        <v>1540</v>
      </c>
      <c r="E34" s="7" t="s">
        <v>1550</v>
      </c>
      <c r="F34" s="4"/>
    </row>
    <row r="35" ht="35" customHeight="1" spans="1:6">
      <c r="A35" s="7">
        <v>9</v>
      </c>
      <c r="B35" s="7" t="s">
        <v>1551</v>
      </c>
      <c r="C35" s="7" t="s">
        <v>629</v>
      </c>
      <c r="D35" s="7" t="s">
        <v>1552</v>
      </c>
      <c r="E35" s="7" t="s">
        <v>1553</v>
      </c>
      <c r="F35" s="4"/>
    </row>
    <row r="36" ht="35" customHeight="1" spans="1:6">
      <c r="A36" s="7">
        <v>10</v>
      </c>
      <c r="B36" s="7" t="s">
        <v>467</v>
      </c>
      <c r="C36" s="7" t="s">
        <v>1554</v>
      </c>
      <c r="D36" s="7" t="s">
        <v>1555</v>
      </c>
      <c r="E36" s="7" t="s">
        <v>1556</v>
      </c>
      <c r="F36" s="4"/>
    </row>
    <row r="37" ht="35" customHeight="1" spans="1:6">
      <c r="A37" s="7">
        <v>11</v>
      </c>
      <c r="B37" s="7" t="s">
        <v>473</v>
      </c>
      <c r="C37" s="7" t="s">
        <v>1554</v>
      </c>
      <c r="D37" s="7" t="s">
        <v>1555</v>
      </c>
      <c r="E37" s="7" t="s">
        <v>1557</v>
      </c>
      <c r="F37" s="4"/>
    </row>
    <row r="38" ht="35" customHeight="1" spans="1:6">
      <c r="A38" s="7">
        <v>12</v>
      </c>
      <c r="B38" s="7" t="s">
        <v>476</v>
      </c>
      <c r="C38" s="7" t="s">
        <v>629</v>
      </c>
      <c r="D38" s="7" t="s">
        <v>1558</v>
      </c>
      <c r="E38" s="7" t="s">
        <v>1559</v>
      </c>
      <c r="F38" s="4"/>
    </row>
    <row r="39" ht="15" customHeight="1" spans="1:6">
      <c r="A39" s="4"/>
      <c r="B39" s="4"/>
      <c r="C39" s="4"/>
      <c r="D39" s="4"/>
      <c r="E39" s="4"/>
      <c r="F39" s="4"/>
    </row>
  </sheetData>
  <mergeCells count="10">
    <mergeCell ref="A1:F1"/>
    <mergeCell ref="A3:F3"/>
    <mergeCell ref="A5:F5"/>
    <mergeCell ref="A6:F6"/>
    <mergeCell ref="A8:F8"/>
    <mergeCell ref="A9:F9"/>
    <mergeCell ref="A11:F11"/>
    <mergeCell ref="A12:F12"/>
    <mergeCell ref="A14:F14"/>
    <mergeCell ref="A26:F26"/>
  </mergeCells>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框架对标原文底稿</vt:lpstr>
      <vt:lpstr>框架对标结果</vt:lpstr>
      <vt:lpstr>正向指标</vt:lpstr>
      <vt:lpstr>负向指标</vt:lpstr>
      <vt:lpstr>试评分</vt:lpstr>
      <vt:lpstr>空值处理统一逻辑说明</vt:lpstr>
      <vt:lpstr>初始权重设定说明</vt:lpstr>
      <vt:lpstr>权重调整机制</vt:lpstr>
      <vt:lpstr>定量指标统一打分范式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xuxinying</dc:creator>
  <cp:lastModifiedBy>Vic</cp:lastModifiedBy>
  <dcterms:created xsi:type="dcterms:W3CDTF">2026-01-04T14:33:00Z</dcterms:created>
  <dcterms:modified xsi:type="dcterms:W3CDTF">2026-05-14T00:32:11Z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BA317ED25C6414A324D8036A9E830E71_43</vt:lpwstr>
  </property>
  <property fmtid="{D5CDD505-2E9C-101B-9397-08002B2CF9AE}" pid="3" name="KSOProductBuildVer">
    <vt:lpwstr>2052-6.13.1.8913</vt:lpwstr>
  </property>
  <property fmtid="{D5CDD505-2E9C-101B-9397-08002B2CF9AE}" pid="4" name="KSOReadingLayout">
    <vt:bool>false</vt:bool>
  </property>
  <property fmtid="{D5CDD505-2E9C-101B-9397-08002B2CF9AE}" pid="5" name="CalculationRule">
    <vt:i4>0</vt:i4>
  </property>
</Properties>
</file>