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40" windowHeight="13160"/>
  </bookViews>
  <sheets>
    <sheet name="统一打分计算" sheetId="1" r:id="rId1"/>
    <sheet name="参数底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<sst xmlns="http://schemas.openxmlformats.org/spreadsheetml/2006/main" count="475" uniqueCount="50">
  <si>
    <t>指标</t>
  </si>
  <si>
    <t>企业</t>
  </si>
  <si>
    <t>当期值</t>
  </si>
  <si>
    <t>基准值</t>
  </si>
  <si>
    <t>改进率/提升率</t>
  </si>
  <si>
    <t>行业维度得分(S_ind)</t>
  </si>
  <si>
    <t>自身维度得分(S_self)</t>
  </si>
  <si>
    <t>总分</t>
  </si>
  <si>
    <t>物理碳排放</t>
  </si>
  <si>
    <t>中信特钢</t>
  </si>
  <si>
    <t>柳钢股份</t>
  </si>
  <si>
    <t>杭钢股份</t>
  </si>
  <si>
    <t>太钢不锈</t>
  </si>
  <si>
    <t>宝山钢铁</t>
  </si>
  <si>
    <t>河钢股份</t>
  </si>
  <si>
    <t>中南股份</t>
  </si>
  <si>
    <t>重庆钢铁</t>
  </si>
  <si>
    <t>首钢股份</t>
  </si>
  <si>
    <t>山东钢铁</t>
  </si>
  <si>
    <t>新钢股份</t>
  </si>
  <si>
    <t>马钢股份</t>
  </si>
  <si>
    <t>南钢股份</t>
  </si>
  <si>
    <t>宝武钢铁</t>
  </si>
  <si>
    <t>华菱钢铁</t>
  </si>
  <si>
    <t>包钢股份</t>
  </si>
  <si>
    <t>鞍钢股份</t>
  </si>
  <si>
    <t>本钢板材</t>
  </si>
  <si>
    <t>八一钢铁</t>
  </si>
  <si>
    <t>凌钢股份</t>
  </si>
  <si>
    <t>营收碳排放</t>
  </si>
  <si>
    <t>用水效率</t>
  </si>
  <si>
    <t>本钢新材</t>
  </si>
  <si>
    <t>自发可再生电量</t>
  </si>
  <si>
    <t>外购绿电</t>
  </si>
  <si>
    <t>研发投入占比</t>
  </si>
  <si>
    <t>节能技改占比</t>
  </si>
  <si>
    <t>环保投入占比</t>
  </si>
  <si>
    <t>废钢回收</t>
  </si>
  <si>
    <t>稳就业促就业</t>
  </si>
  <si>
    <t>维度</t>
  </si>
  <si>
    <t>方向</t>
  </si>
  <si>
    <t>数据量</t>
  </si>
  <si>
    <t>P10</t>
  </si>
  <si>
    <t>P90</t>
  </si>
  <si>
    <t>Span(P90-P10)</t>
  </si>
  <si>
    <t>行业维度70%</t>
  </si>
  <si>
    <t>↓低好</t>
  </si>
  <si>
    <t>自身维度30%</t>
  </si>
  <si>
    <t>↑高好</t>
  </si>
  <si>
    <t>综合100%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</si>
</sst>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);[Red]\(0.00\)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0"/>
  <sheetViews>
    <sheetView tabSelected="1" workbookViewId="0">
      <selection activeCell="H196" sqref="H196"/>
    </sheetView>
  </sheetViews>
  <sheetFormatPr defaultColWidth="9" defaultRowHeight="16.8" outlineLevelCol="7"/>
  <cols>
    <col min="3" max="3" width="12.6153846153846"/>
    <col min="4" max="4" width="11.8461538461538"/>
    <col min="5" max="5" width="14.2596153846154" customWidth="1"/>
    <col min="6" max="6" width="20.6730769230769" customWidth="1"/>
    <col min="7" max="7" width="25" customWidth="1"/>
    <col min="8" max="8" width="14.1538461538462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1.76636904761905</v>
      </c>
      <c r="D2" s="1">
        <v>1.94914400805639</v>
      </c>
      <c r="E2" s="1">
        <v>0.0937719120197808</v>
      </c>
      <c r="F2" s="2">
        <f>IF(ISBLANK(C2),0,IF(C2&lt;=参数底稿!$E$2,10,IF(C2&gt;=参数底稿!$F$2,1,1+9*(参数底稿!$F$2-C2)/(参数底稿!$F$2-参数底稿!$E$2))))</f>
        <v>6.53017494838416</v>
      </c>
      <c r="G2" s="2">
        <f>IF(ISBLANK(E2),0,IF(E2&gt;=参数底稿!$F$3,10,IF(E2&lt;=参数底稿!$E$3,1,1+9*(E2-参数底稿!$E$3)/(参数底稿!$F$3-参数底稿!$E$3))))</f>
        <v>10</v>
      </c>
      <c r="H2" s="2">
        <f>0.7*F2+0.3*G2</f>
        <v>7.57112246386891</v>
      </c>
    </row>
    <row r="3" spans="1:8">
      <c r="A3" t="s">
        <v>8</v>
      </c>
      <c r="B3" t="s">
        <v>10</v>
      </c>
      <c r="C3" s="1">
        <v>1.08221386351424</v>
      </c>
      <c r="D3" s="1">
        <v>1.15599593495935</v>
      </c>
      <c r="E3" s="1">
        <v>0.0638255457599895</v>
      </c>
      <c r="F3" s="2">
        <f>IF(ISBLANK(C3),0,IF(C3&lt;=参数底稿!$E$2,10,IF(C3&gt;=参数底稿!$F$2,1,1+9*(参数底稿!$F$2-C3)/(参数底稿!$F$2-参数底稿!$E$2))))</f>
        <v>10</v>
      </c>
      <c r="G3" s="2">
        <f>IF(ISBLANK(E3),0,IF(E3&gt;=参数底稿!$F$3,10,IF(E3&lt;=参数底稿!$E$3,1,1+9*(E3-参数底稿!$E$3)/(参数底稿!$F$3-参数底稿!$E$3))))</f>
        <v>10</v>
      </c>
      <c r="H3" s="2">
        <f t="shared" ref="H3:H21" si="0">0.7*F3+0.3*G3</f>
        <v>10</v>
      </c>
    </row>
    <row r="4" spans="1:8">
      <c r="A4" t="s">
        <v>8</v>
      </c>
      <c r="B4" t="s">
        <v>11</v>
      </c>
      <c r="C4" s="1">
        <v>2.03030303030303</v>
      </c>
      <c r="D4" s="1">
        <v>2.10840707964602</v>
      </c>
      <c r="E4" s="1">
        <v>0.0370441031511335</v>
      </c>
      <c r="F4" s="2">
        <f>IF(ISBLANK(C4),0,IF(C4&lt;=参数底稿!$E$2,10,IF(C4&gt;=参数底稿!$F$2,1,1+9*(参数底稿!$F$2-C4)/(参数底稿!$F$2-参数底稿!$E$2))))</f>
        <v>2.4998417448662</v>
      </c>
      <c r="G4" s="2">
        <f>IF(ISBLANK(E4),0,IF(E4&gt;=参数底稿!$F$3,10,IF(E4&lt;=参数底稿!$E$3,1,1+9*(E4-参数底稿!$E$3)/(参数底稿!$F$3-参数底稿!$E$3))))</f>
        <v>8.41129690834955</v>
      </c>
      <c r="H4" s="2">
        <f t="shared" si="0"/>
        <v>4.27327829391121</v>
      </c>
    </row>
    <row r="5" spans="1:8">
      <c r="A5" t="s">
        <v>8</v>
      </c>
      <c r="B5" t="s">
        <v>12</v>
      </c>
      <c r="C5" s="1">
        <v>1.60470409711684</v>
      </c>
      <c r="D5" s="1">
        <v>1.65527714502658</v>
      </c>
      <c r="E5" s="1">
        <v>0.0305526165583104</v>
      </c>
      <c r="F5" s="2">
        <f>IF(ISBLANK(C5),0,IF(C5&lt;=参数底稿!$E$2,10,IF(C5&gt;=参数底稿!$F$2,1,1+9*(参数底稿!$F$2-C5)/(参数底稿!$F$2-参数底稿!$E$2))))</f>
        <v>8.99883628266292</v>
      </c>
      <c r="G5" s="2">
        <f>IF(ISBLANK(E5),0,IF(E5&gt;=参数底稿!$F$3,10,IF(E5&lt;=参数底稿!$E$3,1,1+9*(E5-参数底稿!$E$3)/(参数底稿!$F$3-参数底稿!$E$3))))</f>
        <v>7.9299389399927</v>
      </c>
      <c r="H5" s="2">
        <f t="shared" si="0"/>
        <v>8.67816707986186</v>
      </c>
    </row>
    <row r="6" spans="1:8">
      <c r="A6" t="s">
        <v>8</v>
      </c>
      <c r="B6" t="s">
        <v>13</v>
      </c>
      <c r="C6" s="1">
        <v>2.14432989690722</v>
      </c>
      <c r="D6" s="1">
        <v>2.18521370812476</v>
      </c>
      <c r="E6" s="1">
        <v>0.0187092965166448</v>
      </c>
      <c r="F6" s="2">
        <f>IF(ISBLANK(C6),0,IF(C6&lt;=参数底稿!$E$2,10,IF(C6&gt;=参数底稿!$F$2,1,1+9*(参数底稿!$F$2-C6)/(参数底稿!$F$2-参数底稿!$E$2))))</f>
        <v>1</v>
      </c>
      <c r="G6" s="2">
        <f>IF(ISBLANK(E6),0,IF(E6&gt;=参数底稿!$F$3,10,IF(E6&lt;=参数底稿!$E$3,1,1+9*(E6-参数底稿!$E$3)/(参数底稿!$F$3-参数底稿!$E$3))))</f>
        <v>7.0517307834575</v>
      </c>
      <c r="H6" s="2">
        <f t="shared" si="0"/>
        <v>2.81551923503725</v>
      </c>
    </row>
    <row r="7" spans="1:8">
      <c r="A7" t="s">
        <v>8</v>
      </c>
      <c r="B7" t="s">
        <v>14</v>
      </c>
      <c r="C7" s="1">
        <v>2.04579863739591</v>
      </c>
      <c r="D7" s="1">
        <v>2.07995273729815</v>
      </c>
      <c r="E7" s="1">
        <v>0.0164206134542282</v>
      </c>
      <c r="F7" s="2">
        <f>IF(ISBLANK(C7),0,IF(C7&lt;=参数底稿!$E$2,10,IF(C7&gt;=参数底稿!$F$2,1,1+9*(参数底稿!$F$2-C7)/(参数底稿!$F$2-参数底稿!$E$2))))</f>
        <v>2.26322022633336</v>
      </c>
      <c r="G7" s="2">
        <f>IF(ISBLANK(E7),0,IF(E7&gt;=参数底稿!$F$3,10,IF(E7&lt;=参数底稿!$E$3,1,1+9*(E7-参数底稿!$E$3)/(参数底稿!$F$3-参数底稿!$E$3))))</f>
        <v>6.88201991470894</v>
      </c>
      <c r="H7" s="2">
        <f t="shared" si="0"/>
        <v>3.64886013284604</v>
      </c>
    </row>
    <row r="8" spans="1:8">
      <c r="A8" t="s">
        <v>8</v>
      </c>
      <c r="B8" t="s">
        <v>15</v>
      </c>
      <c r="C8" s="1">
        <v>1.81074168797954</v>
      </c>
      <c r="D8" s="1">
        <v>1.82044887780549</v>
      </c>
      <c r="E8" s="1">
        <v>0.0053323056441159</v>
      </c>
      <c r="F8" s="2">
        <f>IF(ISBLANK(C8),0,IF(C8&lt;=参数底稿!$E$2,10,IF(C8&gt;=参数底稿!$F$2,1,1+9*(参数底稿!$F$2-C8)/(参数底稿!$F$2-参数底稿!$E$2))))</f>
        <v>5.85259442633834</v>
      </c>
      <c r="G8" s="2">
        <f>IF(ISBLANK(E8),0,IF(E8&gt;=参数底稿!$F$3,10,IF(E8&lt;=参数底稿!$E$3,1,1+9*(E8-参数底稿!$E$3)/(参数底稿!$F$3-参数底稿!$E$3))))</f>
        <v>6.05979757107935</v>
      </c>
      <c r="H8" s="2">
        <f t="shared" si="0"/>
        <v>5.91475536976064</v>
      </c>
    </row>
    <row r="9" spans="1:8">
      <c r="A9" t="s">
        <v>8</v>
      </c>
      <c r="B9" t="s">
        <v>16</v>
      </c>
      <c r="C9" s="1">
        <v>1.52562417871222</v>
      </c>
      <c r="D9" s="1">
        <v>1.53033268101761</v>
      </c>
      <c r="E9" s="1">
        <v>0.00307678347577398</v>
      </c>
      <c r="F9" s="2">
        <f>IF(ISBLANK(C9),0,IF(C9&lt;=参数底稿!$E$2,10,IF(C9&gt;=参数底稿!$F$2,1,1+9*(参数底稿!$F$2-C9)/(参数底稿!$F$2-参数底稿!$E$2))))</f>
        <v>10</v>
      </c>
      <c r="G9" s="2">
        <f>IF(ISBLANK(E9),0,IF(E9&gt;=参数底稿!$F$3,10,IF(E9&lt;=参数底稿!$E$3,1,1+9*(E9-参数底稿!$E$3)/(参数底稿!$F$3-参数底稿!$E$3))))</f>
        <v>5.8925456553568</v>
      </c>
      <c r="H9" s="2">
        <f t="shared" si="0"/>
        <v>8.76776369660704</v>
      </c>
    </row>
    <row r="10" spans="1:8">
      <c r="A10" t="s">
        <v>8</v>
      </c>
      <c r="B10" t="s">
        <v>17</v>
      </c>
      <c r="C10" s="1">
        <v>1.89828326180258</v>
      </c>
      <c r="D10" s="1">
        <v>1.89732528041415</v>
      </c>
      <c r="E10" s="1">
        <v>-0.000504911518501433</v>
      </c>
      <c r="F10" s="2">
        <f>IF(ISBLANK(C10),0,IF(C10&lt;=参数底稿!$E$2,10,IF(C10&gt;=参数底稿!$F$2,1,1+9*(参数底稿!$F$2-C10)/(参数底稿!$F$2-参数底稿!$E$2))))</f>
        <v>4.51581426609021</v>
      </c>
      <c r="G10" s="2">
        <f>IF(ISBLANK(E10),0,IF(E10&gt;=参数底稿!$F$3,10,IF(E10&lt;=参数底稿!$E$3,1,1+9*(E10-参数底稿!$E$3)/(参数底稿!$F$3-参数底稿!$E$3))))</f>
        <v>5.62695511595333</v>
      </c>
      <c r="H10" s="2">
        <f t="shared" si="0"/>
        <v>4.84915652104914</v>
      </c>
    </row>
    <row r="11" spans="1:8">
      <c r="A11" t="s">
        <v>8</v>
      </c>
      <c r="B11" t="s">
        <v>18</v>
      </c>
      <c r="C11" s="1">
        <v>1.81995954146999</v>
      </c>
      <c r="D11" s="1">
        <v>1.8180602006689</v>
      </c>
      <c r="E11" s="1">
        <v>-0.00104470732069156</v>
      </c>
      <c r="F11" s="2">
        <f>IF(ISBLANK(C11),0,IF(C11&lt;=参数底稿!$E$2,10,IF(C11&gt;=参数底稿!$F$2,1,1+9*(参数底稿!$F$2-C11)/(参数底稿!$F$2-参数底稿!$E$2))))</f>
        <v>5.71183566306757</v>
      </c>
      <c r="G11" s="2">
        <f>IF(ISBLANK(E11),0,IF(E11&gt;=参数底稿!$F$3,10,IF(E11&lt;=参数底稿!$E$3,1,1+9*(E11-参数底稿!$E$3)/(参数底稿!$F$3-参数底稿!$E$3))))</f>
        <v>5.58692807330995</v>
      </c>
      <c r="H11" s="2">
        <f t="shared" si="0"/>
        <v>5.67436338614028</v>
      </c>
    </row>
    <row r="12" spans="1:8">
      <c r="A12" t="s">
        <v>8</v>
      </c>
      <c r="B12" t="s">
        <v>19</v>
      </c>
      <c r="C12" s="1">
        <v>2.09164149043303</v>
      </c>
      <c r="D12" s="1">
        <v>1.98158379373849</v>
      </c>
      <c r="E12" s="1">
        <v>-0.0555402688709441</v>
      </c>
      <c r="F12" s="2">
        <f>IF(ISBLANK(C12),0,IF(C12&lt;=参数底稿!$E$2,10,IF(C12&gt;=参数底稿!$F$2,1,1+9*(参数底稿!$F$2-C12)/(参数底稿!$F$2-参数底稿!$E$2))))</f>
        <v>1.5631892153183</v>
      </c>
      <c r="G12" s="2">
        <f>IF(ISBLANK(E12),0,IF(E12&gt;=参数底稿!$F$3,10,IF(E12&lt;=参数底稿!$E$3,1,1+9*(E12-参数底稿!$E$3)/(参数底稿!$F$3-参数底稿!$E$3))))</f>
        <v>1.54596266158177</v>
      </c>
      <c r="H12" s="2">
        <f t="shared" si="0"/>
        <v>1.55802124919734</v>
      </c>
    </row>
    <row r="13" spans="1:8">
      <c r="A13" t="s">
        <v>8</v>
      </c>
      <c r="B13" t="s">
        <v>20</v>
      </c>
      <c r="C13" s="1">
        <v>2.00762527233115</v>
      </c>
      <c r="D13" s="1">
        <v>1.88554801163919</v>
      </c>
      <c r="E13" s="1">
        <v>-0.064743650089208</v>
      </c>
      <c r="F13" s="2">
        <f>IF(ISBLANK(C13),0,IF(C13&lt;=参数底稿!$E$2,10,IF(C13&gt;=参数底稿!$F$2,1,1+9*(参数底稿!$F$2-C13)/(参数底稿!$F$2-参数底稿!$E$2))))</f>
        <v>2.84613637508381</v>
      </c>
      <c r="G13" s="2">
        <f>IF(ISBLANK(E13),0,IF(E13&gt;=参数底稿!$F$3,10,IF(E13&lt;=参数底稿!$E$3,1,1+9*(E13-参数底稿!$E$3)/(参数底稿!$F$3-参数底稿!$E$3))))</f>
        <v>1</v>
      </c>
      <c r="H13" s="2">
        <f t="shared" si="0"/>
        <v>2.29229546255867</v>
      </c>
    </row>
    <row r="14" spans="1:8">
      <c r="A14" t="s">
        <v>8</v>
      </c>
      <c r="B14" t="s">
        <v>21</v>
      </c>
      <c r="C14" s="1">
        <v>2.1898597626753</v>
      </c>
      <c r="D14" s="1">
        <v>1.98557692307692</v>
      </c>
      <c r="E14" s="1">
        <v>-0.102883367158503</v>
      </c>
      <c r="F14" s="2">
        <f>IF(ISBLANK(C14),0,IF(C14&lt;=参数底稿!$E$2,10,IF(C14&gt;=参数底稿!$F$2,1,1+9*(参数底稿!$F$2-C14)/(参数底稿!$F$2-参数底稿!$E$2))))</f>
        <v>1</v>
      </c>
      <c r="G14" s="2">
        <f>IF(ISBLANK(E14),0,IF(E14&gt;=参数底稿!$F$3,10,IF(E14&lt;=参数底稿!$E$3,1,1+9*(E14-参数底稿!$E$3)/(参数底稿!$F$3-参数底稿!$E$3))))</f>
        <v>1</v>
      </c>
      <c r="H14" s="2">
        <f t="shared" si="0"/>
        <v>1</v>
      </c>
    </row>
    <row r="15" spans="1:8">
      <c r="A15" t="s">
        <v>8</v>
      </c>
      <c r="B15" t="s">
        <v>22</v>
      </c>
      <c r="C15" s="1"/>
      <c r="D15" s="1"/>
      <c r="E15" s="1"/>
      <c r="F15" s="2">
        <f>IF(ISBLANK(C15),0,IF(C15&lt;=参数底稿!$E$2,10,IF(C15&gt;=参数底稿!$F$2,1,1+9*(参数底稿!$F$2-C15)/(参数底稿!$F$2-参数底稿!$E$2))))</f>
        <v>0</v>
      </c>
      <c r="G15" s="2">
        <f>IF(ISBLANK(E15),0,IF(E15&gt;=参数底稿!$F$3,10,IF(E15&lt;=参数底稿!$E$3,1,1+9*(E15-参数底稿!$E$3)/(参数底稿!$F$3-参数底稿!$E$3))))</f>
        <v>0</v>
      </c>
      <c r="H15" s="2">
        <f t="shared" si="0"/>
        <v>0</v>
      </c>
    </row>
    <row r="16" spans="1:8">
      <c r="A16" t="s">
        <v>8</v>
      </c>
      <c r="B16" t="s">
        <v>23</v>
      </c>
      <c r="C16" s="1"/>
      <c r="D16" s="1"/>
      <c r="E16" s="1"/>
      <c r="F16" s="2">
        <f>IF(ISBLANK(C16),0,IF(C16&lt;=参数底稿!$E$2,10,IF(C16&gt;=参数底稿!$F$2,1,1+9*(参数底稿!$F$2-C16)/(参数底稿!$F$2-参数底稿!$E$2))))</f>
        <v>0</v>
      </c>
      <c r="G16" s="2">
        <f>IF(ISBLANK(E16),0,IF(E16&gt;=参数底稿!$F$3,10,IF(E16&lt;=参数底稿!$E$3,1,1+9*(E16-参数底稿!$E$3)/(参数底稿!$F$3-参数底稿!$E$3))))</f>
        <v>0</v>
      </c>
      <c r="H16" s="2">
        <f t="shared" si="0"/>
        <v>0</v>
      </c>
    </row>
    <row r="17" spans="1:8">
      <c r="A17" t="s">
        <v>8</v>
      </c>
      <c r="B17" t="s">
        <v>24</v>
      </c>
      <c r="C17" s="1"/>
      <c r="D17" s="1"/>
      <c r="E17" s="1"/>
      <c r="F17" s="2">
        <f>IF(ISBLANK(C17),0,IF(C17&lt;=参数底稿!$E$2,10,IF(C17&gt;=参数底稿!$F$2,1,1+9*(参数底稿!$F$2-C17)/(参数底稿!$F$2-参数底稿!$E$2))))</f>
        <v>0</v>
      </c>
      <c r="G17" s="2">
        <f>IF(ISBLANK(E17),0,IF(E17&gt;=参数底稿!$F$3,10,IF(E17&lt;=参数底稿!$E$3,1,1+9*(E17-参数底稿!$E$3)/(参数底稿!$F$3-参数底稿!$E$3))))</f>
        <v>0</v>
      </c>
      <c r="H17" s="2">
        <f t="shared" si="0"/>
        <v>0</v>
      </c>
    </row>
    <row r="18" spans="1:8">
      <c r="A18" t="s">
        <v>8</v>
      </c>
      <c r="B18" t="s">
        <v>25</v>
      </c>
      <c r="C18" s="1"/>
      <c r="D18" s="1"/>
      <c r="E18" s="1"/>
      <c r="F18" s="2">
        <f>IF(ISBLANK(C18),0,IF(C18&lt;=参数底稿!$E$2,10,IF(C18&gt;=参数底稿!$F$2,1,1+9*(参数底稿!$F$2-C18)/(参数底稿!$F$2-参数底稿!$E$2))))</f>
        <v>0</v>
      </c>
      <c r="G18" s="2">
        <f>IF(ISBLANK(E18),0,IF(E18&gt;=参数底稿!$F$3,10,IF(E18&lt;=参数底稿!$E$3,1,1+9*(E18-参数底稿!$E$3)/(参数底稿!$F$3-参数底稿!$E$3))))</f>
        <v>0</v>
      </c>
      <c r="H18" s="2">
        <f t="shared" si="0"/>
        <v>0</v>
      </c>
    </row>
    <row r="19" spans="1:8">
      <c r="A19" t="s">
        <v>8</v>
      </c>
      <c r="B19" t="s">
        <v>26</v>
      </c>
      <c r="C19" s="1"/>
      <c r="D19" s="1"/>
      <c r="E19" s="1"/>
      <c r="F19" s="2">
        <f>IF(ISBLANK(C19),0,IF(C19&lt;=参数底稿!$E$2,10,IF(C19&gt;=参数底稿!$F$2,1,1+9*(参数底稿!$F$2-C19)/(参数底稿!$F$2-参数底稿!$E$2))))</f>
        <v>0</v>
      </c>
      <c r="G19" s="2">
        <f>IF(ISBLANK(E19),0,IF(E19&gt;=参数底稿!$F$3,10,IF(E19&lt;=参数底稿!$E$3,1,1+9*(E19-参数底稿!$E$3)/(参数底稿!$F$3-参数底稿!$E$3))))</f>
        <v>0</v>
      </c>
      <c r="H19" s="2">
        <f t="shared" si="0"/>
        <v>0</v>
      </c>
    </row>
    <row r="20" spans="1:8">
      <c r="A20" t="s">
        <v>8</v>
      </c>
      <c r="B20" t="s">
        <v>27</v>
      </c>
      <c r="C20" s="1">
        <v>1.57068062827225</v>
      </c>
      <c r="D20" s="1"/>
      <c r="E20" s="1"/>
      <c r="F20" s="2">
        <f>IF(ISBLANK(C20),0,IF(C20&lt;=参数底稿!$E$2,10,IF(C20&gt;=参数底稿!$F$2,1,1+9*(参数底稿!$F$2-C20)/(参数底稿!$F$2-参数底稿!$E$2))))</f>
        <v>9.51838255248676</v>
      </c>
      <c r="G20" s="2">
        <f>IF(ISBLANK(E20),0,IF(E20&gt;=参数底稿!$F$3,10,IF(E20&lt;=参数底稿!$E$3,1,1+9*(E20-参数底稿!$E$3)/(参数底稿!$F$3-参数底稿!$E$3))))</f>
        <v>0</v>
      </c>
      <c r="H20" s="2">
        <f t="shared" si="0"/>
        <v>6.66286778674073</v>
      </c>
    </row>
    <row r="21" spans="1:8">
      <c r="A21" t="s">
        <v>8</v>
      </c>
      <c r="B21" t="s">
        <v>28</v>
      </c>
      <c r="C21" s="1"/>
      <c r="D21" s="1"/>
      <c r="E21" s="1"/>
      <c r="F21" s="2">
        <f>IF(ISBLANK(C21),0,IF(C21&lt;=参数底稿!$E$2,10,IF(C21&gt;=参数底稿!$F$2,1,1+9*(参数底稿!$F$2-C21)/(参数底稿!$F$2-参数底稿!$E$2))))</f>
        <v>0</v>
      </c>
      <c r="G21" s="2">
        <f>IF(ISBLANK(E21),0,IF(E21&gt;=参数底稿!$F$3,10,IF(E21&lt;=参数底稿!$E$3,1,1+9*(E21-参数底稿!$E$3)/(参数底稿!$F$3-参数底稿!$E$3))))</f>
        <v>0</v>
      </c>
      <c r="H21" s="2">
        <f t="shared" si="0"/>
        <v>0</v>
      </c>
    </row>
    <row r="22" spans="3:5">
      <c r="C22" s="1"/>
      <c r="D22" s="1"/>
      <c r="E22" s="1"/>
    </row>
    <row r="23" spans="1:8">
      <c r="A23" t="s">
        <v>29</v>
      </c>
      <c r="B23" t="s">
        <v>11</v>
      </c>
      <c r="C23" s="1">
        <v>1.3681201306861</v>
      </c>
      <c r="D23" s="1">
        <v>1.70705930822004</v>
      </c>
      <c r="E23" s="1">
        <v>0.198551494902277</v>
      </c>
      <c r="F23" s="3">
        <f>IF(ISBLANK(C23),0,IF(C23&lt;=参数底稿!$E$5,10,IF(C23&gt;=参数底稿!$F$5,1,1+9*(参数底稿!$F$5-C23)/(参数底稿!$F$5-参数底稿!$E$5))))</f>
        <v>10</v>
      </c>
      <c r="G23" s="3">
        <f>IF(ISBLANK(E23),0,IF(E23&gt;=参数底稿!$F$6,10,IF(E23&lt;=参数底稿!$E$6,1,1+9*(E23-参数底稿!$E$6)/(参数底稿!$F$6-参数底稿!$E$6))))</f>
        <v>10</v>
      </c>
      <c r="H23" s="3">
        <f t="shared" ref="H22:H42" si="1">0.7*F23+0.3*G23</f>
        <v>10</v>
      </c>
    </row>
    <row r="24" spans="1:8">
      <c r="A24" t="s">
        <v>29</v>
      </c>
      <c r="B24" t="s">
        <v>9</v>
      </c>
      <c r="C24" s="1">
        <v>3.26089942583995</v>
      </c>
      <c r="D24" s="1">
        <v>3.3950481937221</v>
      </c>
      <c r="E24" s="1">
        <v>0.039513067334422</v>
      </c>
      <c r="F24" s="3">
        <f>IF(ISBLANK(C24),0,IF(C24&lt;=参数底稿!$E$5,10,IF(C24&gt;=参数底稿!$F$5,1,1+9*(参数底稿!$F$5-C24)/(参数底稿!$F$5-参数底稿!$E$5))))</f>
        <v>6.53429641291006</v>
      </c>
      <c r="G24" s="3">
        <f>IF(ISBLANK(E24),0,IF(E24&gt;=参数底稿!$F$6,10,IF(E24&lt;=参数底稿!$E$6,1,1+9*(E24-参数底稿!$E$6)/(参数底稿!$F$6-参数底稿!$E$6))))</f>
        <v>10</v>
      </c>
      <c r="H24" s="3">
        <f t="shared" si="1"/>
        <v>7.57400748903704</v>
      </c>
    </row>
    <row r="25" spans="1:8">
      <c r="A25" t="s">
        <v>29</v>
      </c>
      <c r="B25" t="s">
        <v>10</v>
      </c>
      <c r="C25" s="1">
        <v>2.87172759938402</v>
      </c>
      <c r="D25" s="1">
        <v>2.85570827841587</v>
      </c>
      <c r="E25" s="1">
        <v>-0.00560957892275955</v>
      </c>
      <c r="F25" s="3">
        <f>IF(ISBLANK(C25),0,IF(C25&lt;=参数底稿!$E$5,10,IF(C25&gt;=参数底稿!$F$5,1,1+9*(参数底稿!$F$5-C25)/(参数底稿!$F$5-参数底稿!$E$5))))</f>
        <v>7.99324274401728</v>
      </c>
      <c r="G25" s="3">
        <f>IF(ISBLANK(E25),0,IF(E25&gt;=参数底稿!$F$6,10,IF(E25&lt;=参数底稿!$E$6,1,1+9*(E25-参数底稿!$E$6)/(参数底稿!$F$6-参数底稿!$E$6))))</f>
        <v>8.60079411912093</v>
      </c>
      <c r="H25" s="3">
        <f t="shared" si="1"/>
        <v>8.17550815654838</v>
      </c>
    </row>
    <row r="26" spans="1:8">
      <c r="A26" t="s">
        <v>29</v>
      </c>
      <c r="B26" t="s">
        <v>12</v>
      </c>
      <c r="C26" s="1">
        <v>2.10701441536576</v>
      </c>
      <c r="D26" s="1">
        <v>2.06404211403359</v>
      </c>
      <c r="E26" s="1">
        <v>-0.0208194886334921</v>
      </c>
      <c r="F26" s="3">
        <f>IF(ISBLANK(C26),0,IF(C26&lt;=参数底稿!$E$5,10,IF(C26&gt;=参数底稿!$F$5,1,1+9*(参数底稿!$F$5-C26)/(参数底稿!$F$5-参数底稿!$E$5))))</f>
        <v>10</v>
      </c>
      <c r="G26" s="3">
        <f>IF(ISBLANK(E26),0,IF(E26&gt;=参数底稿!$F$6,10,IF(E26&lt;=参数底稿!$E$6,1,1+9*(E26-参数底稿!$E$6)/(参数底稿!$F$6-参数底稿!$E$6))))</f>
        <v>8.01124750122127</v>
      </c>
      <c r="H26" s="3">
        <f t="shared" si="1"/>
        <v>9.40337425036638</v>
      </c>
    </row>
    <row r="27" spans="1:8">
      <c r="A27" t="s">
        <v>29</v>
      </c>
      <c r="B27" t="s">
        <v>14</v>
      </c>
      <c r="C27" s="1">
        <v>4.44427999375087</v>
      </c>
      <c r="D27" s="1">
        <v>4.30245062895131</v>
      </c>
      <c r="E27" s="1">
        <v>-0.0329647861256529</v>
      </c>
      <c r="F27" s="3">
        <f>IF(ISBLANK(C27),0,IF(C27&lt;=参数底稿!$E$5,10,IF(C27&gt;=参数底稿!$F$5,1,1+9*(参数底稿!$F$5-C27)/(参数底稿!$F$5-参数底稿!$E$5))))</f>
        <v>2.09798160158408</v>
      </c>
      <c r="G27" s="3">
        <f>IF(ISBLANK(E27),0,IF(E27&gt;=参数底稿!$F$6,10,IF(E27&lt;=参数底稿!$E$6,1,1+9*(E27-参数底稿!$E$6)/(参数底稿!$F$6-参数底稿!$E$6))))</f>
        <v>7.54048737206441</v>
      </c>
      <c r="H27" s="3">
        <f t="shared" si="1"/>
        <v>3.73073333272818</v>
      </c>
    </row>
    <row r="28" spans="1:8">
      <c r="A28" t="s">
        <v>29</v>
      </c>
      <c r="B28" t="s">
        <v>13</v>
      </c>
      <c r="C28" s="1">
        <v>3.42236958114468</v>
      </c>
      <c r="D28" s="1">
        <v>3.29111428140622</v>
      </c>
      <c r="E28" s="1">
        <v>-0.0398817204495187</v>
      </c>
      <c r="F28" s="3">
        <f>IF(ISBLANK(C28),0,IF(C28&lt;=参数底稿!$E$5,10,IF(C28&gt;=参数底稿!$F$5,1,1+9*(参数底稿!$F$5-C28)/(参数底稿!$F$5-参数底稿!$E$5))))</f>
        <v>5.92896921641058</v>
      </c>
      <c r="G28" s="3">
        <f>IF(ISBLANK(E28),0,IF(E28&gt;=参数底稿!$F$6,10,IF(E28&lt;=参数底稿!$E$6,1,1+9*(E28-参数底稿!$E$6)/(参数底稿!$F$6-参数底稿!$E$6))))</f>
        <v>7.27238221467536</v>
      </c>
      <c r="H28" s="3">
        <f t="shared" si="1"/>
        <v>6.33199311589001</v>
      </c>
    </row>
    <row r="29" spans="1:8">
      <c r="A29" t="s">
        <v>29</v>
      </c>
      <c r="B29" t="s">
        <v>17</v>
      </c>
      <c r="C29" s="1">
        <v>4.08361108290017</v>
      </c>
      <c r="D29" s="1">
        <v>3.86599977145067</v>
      </c>
      <c r="E29" s="1">
        <v>-0.0562884956839606</v>
      </c>
      <c r="F29" s="3">
        <f>IF(ISBLANK(C29),0,IF(C29&lt;=参数底稿!$E$5,10,IF(C29&gt;=参数底稿!$F$5,1,1+9*(参数底稿!$F$5-C29)/(参数底稿!$F$5-参数底稿!$E$5))))</f>
        <v>3.45007481198418</v>
      </c>
      <c r="G29" s="3">
        <f>IF(ISBLANK(E29),0,IF(E29&gt;=参数底稿!$F$6,10,IF(E29&lt;=参数底稿!$E$6,1,1+9*(E29-参数底稿!$E$6)/(参数底稿!$F$6-参数底稿!$E$6))))</f>
        <v>6.63644426145531</v>
      </c>
      <c r="H29" s="3">
        <f t="shared" si="1"/>
        <v>4.40598564682552</v>
      </c>
    </row>
    <row r="30" spans="1:8">
      <c r="A30" t="s">
        <v>29</v>
      </c>
      <c r="B30" t="s">
        <v>16</v>
      </c>
      <c r="C30" s="1">
        <v>4.26148876816914</v>
      </c>
      <c r="D30" s="1">
        <v>3.97782186276006</v>
      </c>
      <c r="E30" s="1">
        <v>-0.0713121188419065</v>
      </c>
      <c r="F30" s="3">
        <f>IF(ISBLANK(C30),0,IF(C30&lt;=参数底稿!$E$5,10,IF(C30&gt;=参数底稿!$F$5,1,1+9*(参数底稿!$F$5-C30)/(参数底稿!$F$5-参数底稿!$E$5))))</f>
        <v>2.78323826661469</v>
      </c>
      <c r="G30" s="3">
        <f>IF(ISBLANK(E30),0,IF(E30&gt;=参数底稿!$F$6,10,IF(E30&lt;=参数底稿!$E$6,1,1+9*(E30-参数底稿!$E$6)/(参数底稿!$F$6-参数底稿!$E$6))))</f>
        <v>6.05411823915709</v>
      </c>
      <c r="H30" s="3">
        <f t="shared" si="1"/>
        <v>3.76450225837741</v>
      </c>
    </row>
    <row r="31" spans="1:8">
      <c r="A31" t="s">
        <v>29</v>
      </c>
      <c r="B31" t="s">
        <v>18</v>
      </c>
      <c r="C31" s="1">
        <v>3.287694594002</v>
      </c>
      <c r="D31" s="1">
        <v>3.00414479137883</v>
      </c>
      <c r="E31" s="1">
        <v>-0.0943861971756098</v>
      </c>
      <c r="F31" s="3">
        <f>IF(ISBLANK(C31),0,IF(C31&lt;=参数底稿!$E$5,10,IF(C31&gt;=参数底稿!$F$5,1,1+9*(参数底稿!$F$5-C31)/(参数底稿!$F$5-参数底稿!$E$5))))</f>
        <v>6.43384537914066</v>
      </c>
      <c r="G31" s="3">
        <f>IF(ISBLANK(E31),0,IF(E31&gt;=参数底稿!$F$6,10,IF(E31&lt;=参数底稿!$E$6,1,1+9*(E31-参数底稿!$E$6)/(参数底稿!$F$6-参数底稿!$E$6))))</f>
        <v>5.15975100743134</v>
      </c>
      <c r="H31" s="3">
        <f t="shared" si="1"/>
        <v>6.05161706762786</v>
      </c>
    </row>
    <row r="32" spans="1:8">
      <c r="A32" t="s">
        <v>29</v>
      </c>
      <c r="B32" t="s">
        <v>20</v>
      </c>
      <c r="C32" s="1">
        <v>4.50517618587824</v>
      </c>
      <c r="D32" s="1">
        <v>3.92973377266571</v>
      </c>
      <c r="E32" s="1">
        <v>-0.146432925613224</v>
      </c>
      <c r="F32" s="3">
        <f>IF(ISBLANK(C32),0,IF(C32&lt;=参数底稿!$E$5,10,IF(C32&gt;=参数底稿!$F$5,1,1+9*(参数底稿!$F$5-C32)/(参数底稿!$F$5-参数底稿!$E$5))))</f>
        <v>1.86969098534985</v>
      </c>
      <c r="G32" s="3">
        <f>IF(ISBLANK(E32),0,IF(E32&gt;=参数底稿!$F$6,10,IF(E32&lt;=参数底稿!$E$6,1,1+9*(E32-参数底稿!$E$6)/(参数底稿!$F$6-参数底稿!$E$6))))</f>
        <v>3.14238382335885</v>
      </c>
      <c r="H32" s="3">
        <f t="shared" si="1"/>
        <v>2.25149883675255</v>
      </c>
    </row>
    <row r="33" spans="1:8">
      <c r="A33" t="s">
        <v>29</v>
      </c>
      <c r="B33" t="s">
        <v>21</v>
      </c>
      <c r="C33" s="1">
        <v>3.28420507676627</v>
      </c>
      <c r="D33" s="1">
        <v>2.84658754118247</v>
      </c>
      <c r="E33" s="1">
        <v>-0.153734086604628</v>
      </c>
      <c r="F33" s="3">
        <f>IF(ISBLANK(C33),0,IF(C33&lt;=参数底稿!$E$5,10,IF(C33&gt;=参数底稿!$F$5,1,1+9*(参数底稿!$F$5-C33)/(参数底稿!$F$5-参数底稿!$E$5))))</f>
        <v>6.44692705161106</v>
      </c>
      <c r="G33" s="3">
        <f>IF(ISBLANK(E33),0,IF(E33&gt;=参数底稿!$F$6,10,IF(E33&lt;=参数底稿!$E$6,1,1+9*(E33-参数底稿!$E$6)/(参数底稿!$F$6-参数底稿!$E$6))))</f>
        <v>2.85938577464684</v>
      </c>
      <c r="H33" s="3">
        <f t="shared" si="1"/>
        <v>5.37066466852179</v>
      </c>
    </row>
    <row r="34" spans="1:8">
      <c r="A34" t="s">
        <v>29</v>
      </c>
      <c r="B34" t="s">
        <v>15</v>
      </c>
      <c r="C34" s="1">
        <v>4.54195535026944</v>
      </c>
      <c r="D34" s="1">
        <v>3.74224637309684</v>
      </c>
      <c r="E34" s="1">
        <v>-0.213697575585013</v>
      </c>
      <c r="F34" s="3">
        <f>IF(ISBLANK(C34),0,IF(C34&lt;=参数底稿!$E$5,10,IF(C34&gt;=参数底稿!$F$5,1,1+9*(参数底稿!$F$5-C34)/(参数底稿!$F$5-参数底稿!$E$5))))</f>
        <v>1.73181145938728</v>
      </c>
      <c r="G34" s="3">
        <f>IF(ISBLANK(E34),0,IF(E34&gt;=参数底稿!$F$6,10,IF(E34&lt;=参数底稿!$E$6,1,1+9*(E34-参数底稿!$E$6)/(参数底稿!$F$6-参数底稿!$E$6))))</f>
        <v>1</v>
      </c>
      <c r="H34" s="3">
        <f t="shared" si="1"/>
        <v>1.5122680215711</v>
      </c>
    </row>
    <row r="35" spans="1:8">
      <c r="A35" t="s">
        <v>29</v>
      </c>
      <c r="B35" t="s">
        <v>19</v>
      </c>
      <c r="C35" s="1">
        <v>4.96842407425127</v>
      </c>
      <c r="D35" s="1">
        <v>3.02489352431019</v>
      </c>
      <c r="E35" s="1">
        <v>-0.642512053505846</v>
      </c>
      <c r="F35" s="3">
        <f>IF(ISBLANK(C35),0,IF(C35&lt;=参数底稿!$E$5,10,IF(C35&gt;=参数底稿!$F$5,1,1+9*(参数底稿!$F$5-C35)/(参数底稿!$F$5-参数底稿!$E$5))))</f>
        <v>1</v>
      </c>
      <c r="G35" s="3">
        <f>IF(ISBLANK(E35),0,IF(E35&gt;=参数底稿!$F$6,10,IF(E35&lt;=参数底稿!$E$6,1,1+9*(E35-参数底稿!$E$6)/(参数底稿!$F$6-参数底稿!$E$6))))</f>
        <v>1</v>
      </c>
      <c r="H35" s="3">
        <f t="shared" si="1"/>
        <v>1</v>
      </c>
    </row>
    <row r="36" spans="1:8">
      <c r="A36" t="s">
        <v>29</v>
      </c>
      <c r="B36" t="s">
        <v>23</v>
      </c>
      <c r="C36" s="1"/>
      <c r="D36" s="1"/>
      <c r="E36" s="1"/>
      <c r="F36" s="3">
        <f>IF(ISBLANK(C36),0,IF(C36&lt;=参数底稿!$E$5,10,IF(C36&gt;=参数底稿!$F$5,1,1+9*(参数底稿!$F$5-C36)/(参数底稿!$F$5-参数底稿!$E$5))))</f>
        <v>0</v>
      </c>
      <c r="G36" s="3">
        <f>IF(ISBLANK(E36),0,IF(E36&gt;=参数底稿!$F$6,10,IF(E36&lt;=参数底稿!$E$6,1,1+9*(E36-参数底稿!$E$6)/(参数底稿!$F$6-参数底稿!$E$6))))</f>
        <v>0</v>
      </c>
      <c r="H36" s="3">
        <f t="shared" si="1"/>
        <v>0</v>
      </c>
    </row>
    <row r="37" spans="1:8">
      <c r="A37" t="s">
        <v>29</v>
      </c>
      <c r="B37" t="s">
        <v>22</v>
      </c>
      <c r="C37" s="1"/>
      <c r="D37" s="1"/>
      <c r="E37" s="1"/>
      <c r="F37" s="3">
        <f>IF(ISBLANK(C37),0,IF(C37&lt;=参数底稿!$E$5,10,IF(C37&gt;=参数底稿!$F$5,1,1+9*(参数底稿!$F$5-C37)/(参数底稿!$F$5-参数底稿!$E$5))))</f>
        <v>0</v>
      </c>
      <c r="G37" s="3">
        <f>IF(ISBLANK(E37),0,IF(E37&gt;=参数底稿!$F$6,10,IF(E37&lt;=参数底稿!$E$6,1,1+9*(E37-参数底稿!$E$6)/(参数底稿!$F$6-参数底稿!$E$6))))</f>
        <v>0</v>
      </c>
      <c r="H37" s="3">
        <f t="shared" si="1"/>
        <v>0</v>
      </c>
    </row>
    <row r="38" spans="1:8">
      <c r="A38" t="s">
        <v>29</v>
      </c>
      <c r="B38" t="s">
        <v>24</v>
      </c>
      <c r="C38" s="1"/>
      <c r="D38" s="1"/>
      <c r="E38" s="1"/>
      <c r="F38" s="3">
        <f>IF(ISBLANK(C38),0,IF(C38&lt;=参数底稿!$E$5,10,IF(C38&gt;=参数底稿!$F$5,1,1+9*(参数底稿!$F$5-C38)/(参数底稿!$F$5-参数底稿!$E$5))))</f>
        <v>0</v>
      </c>
      <c r="G38" s="3">
        <f>IF(ISBLANK(E38),0,IF(E38&gt;=参数底稿!$F$6,10,IF(E38&lt;=参数底稿!$E$6,1,1+9*(E38-参数底稿!$E$6)/(参数底稿!$F$6-参数底稿!$E$6))))</f>
        <v>0</v>
      </c>
      <c r="H38" s="3">
        <f t="shared" si="1"/>
        <v>0</v>
      </c>
    </row>
    <row r="39" spans="1:8">
      <c r="A39" t="s">
        <v>29</v>
      </c>
      <c r="B39" t="s">
        <v>25</v>
      </c>
      <c r="C39" s="1"/>
      <c r="D39" s="1"/>
      <c r="E39" s="1"/>
      <c r="F39" s="3">
        <f>IF(ISBLANK(C39),0,IF(C39&lt;=参数底稿!$E$5,10,IF(C39&gt;=参数底稿!$F$5,1,1+9*(参数底稿!$F$5-C39)/(参数底稿!$F$5-参数底稿!$E$5))))</f>
        <v>0</v>
      </c>
      <c r="G39" s="3">
        <f>IF(ISBLANK(E39),0,IF(E39&gt;=参数底稿!$F$6,10,IF(E39&lt;=参数底稿!$E$6,1,1+9*(E39-参数底稿!$E$6)/(参数底稿!$F$6-参数底稿!$E$6))))</f>
        <v>0</v>
      </c>
      <c r="H39" s="3">
        <f t="shared" si="1"/>
        <v>0</v>
      </c>
    </row>
    <row r="40" spans="1:8">
      <c r="A40" t="s">
        <v>29</v>
      </c>
      <c r="B40" t="s">
        <v>26</v>
      </c>
      <c r="C40" s="1"/>
      <c r="D40" s="1"/>
      <c r="E40" s="1"/>
      <c r="F40" s="3">
        <f>IF(ISBLANK(C40),0,IF(C40&lt;=参数底稿!$E$5,10,IF(C40&gt;=参数底稿!$F$5,1,1+9*(参数底稿!$F$5-C40)/(参数底稿!$F$5-参数底稿!$E$5))))</f>
        <v>0</v>
      </c>
      <c r="G40" s="3">
        <f>IF(ISBLANK(E40),0,IF(E40&gt;=参数底稿!$F$6,10,IF(E40&lt;=参数底稿!$E$6,1,1+9*(E40-参数底稿!$E$6)/(参数底稿!$F$6-参数底稿!$E$6))))</f>
        <v>0</v>
      </c>
      <c r="H40" s="3">
        <f t="shared" si="1"/>
        <v>0</v>
      </c>
    </row>
    <row r="41" spans="1:8">
      <c r="A41" t="s">
        <v>29</v>
      </c>
      <c r="B41" t="s">
        <v>28</v>
      </c>
      <c r="C41" s="1"/>
      <c r="D41" s="1"/>
      <c r="E41" s="1"/>
      <c r="F41" s="3">
        <f>IF(ISBLANK(C41),0,IF(C41&lt;=参数底稿!$E$5,10,IF(C41&gt;=参数底稿!$F$5,1,1+9*(参数底稿!$F$5-C41)/(参数底稿!$F$5-参数底稿!$E$5))))</f>
        <v>0</v>
      </c>
      <c r="G41" s="3">
        <f>IF(ISBLANK(E41),0,IF(E41&gt;=参数底稿!$F$6,10,IF(E41&lt;=参数底稿!$E$6,1,1+9*(E41-参数底稿!$E$6)/(参数底稿!$F$6-参数底稿!$E$6))))</f>
        <v>0</v>
      </c>
      <c r="H41" s="3">
        <f t="shared" si="1"/>
        <v>0</v>
      </c>
    </row>
    <row r="42" spans="1:8">
      <c r="A42" t="s">
        <v>29</v>
      </c>
      <c r="B42" t="s">
        <v>27</v>
      </c>
      <c r="C42" s="1">
        <v>4.82082596818255</v>
      </c>
      <c r="D42" s="1"/>
      <c r="E42" s="1"/>
      <c r="F42" s="3">
        <f>IF(ISBLANK(C42),0,IF(C42&lt;=参数底稿!$E$5,10,IF(C42&gt;=参数底稿!$F$5,1,1+9*(参数底稿!$F$5-C42)/(参数底稿!$F$5-参数底稿!$E$5))))</f>
        <v>1</v>
      </c>
      <c r="G42" s="3">
        <f>IF(ISBLANK(E42),0,IF(E42&gt;=参数底稿!$F$6,10,IF(E42&lt;=参数底稿!$E$6,1,1+9*(E42-参数底稿!$E$6)/(参数底稿!$F$6-参数底稿!$E$6))))</f>
        <v>0</v>
      </c>
      <c r="H42" s="3">
        <f t="shared" si="1"/>
        <v>0.7</v>
      </c>
    </row>
    <row r="43" spans="3:5">
      <c r="C43" s="1"/>
      <c r="D43" s="1"/>
      <c r="E43" s="1"/>
    </row>
    <row r="44" spans="1:8">
      <c r="A44" t="s">
        <v>30</v>
      </c>
      <c r="B44" t="s">
        <v>28</v>
      </c>
      <c r="C44" s="1">
        <v>0.19</v>
      </c>
      <c r="D44" s="1">
        <v>0.5</v>
      </c>
      <c r="E44" s="1">
        <v>0.62</v>
      </c>
      <c r="F44" s="3">
        <f>IF(ISBLANK(C44),0,IF(C44&lt;=参数底稿!$E$8,10,IF(C44&gt;=参数底稿!$F$8,1,1+9*(参数底稿!$F$8-C44)/(参数底稿!$F$8-参数底稿!$E$8))))</f>
        <v>10</v>
      </c>
      <c r="G44" s="3">
        <f>IF(ISBLANK(E44),0,IF(E44&gt;=参数底稿!$F$9,10,IF(E44&lt;=参数底稿!$E$9,1,1+9*(E44-参数底稿!$E$9)/(参数底稿!$F$9-参数底稿!$E$9))))</f>
        <v>10</v>
      </c>
      <c r="H44" s="3">
        <f t="shared" ref="H43:H63" si="2">0.7*F44+0.3*G44</f>
        <v>10</v>
      </c>
    </row>
    <row r="45" spans="1:8">
      <c r="A45" t="s">
        <v>30</v>
      </c>
      <c r="B45" t="s">
        <v>12</v>
      </c>
      <c r="C45" s="1">
        <v>1.39</v>
      </c>
      <c r="D45" s="1">
        <v>1.8</v>
      </c>
      <c r="E45" s="1">
        <v>0.227777777777778</v>
      </c>
      <c r="F45" s="3">
        <f>IF(ISBLANK(C45),0,IF(C45&lt;=参数底稿!$E$8,10,IF(C45&gt;=参数底稿!$F$8,1,1+9*(参数底稿!$F$8-C45)/(参数底稿!$F$8-参数底稿!$E$8))))</f>
        <v>9.80201649862512</v>
      </c>
      <c r="G45" s="3">
        <f>IF(ISBLANK(E45),0,IF(E45&gt;=参数底稿!$F$9,10,IF(E45&lt;=参数底稿!$E$9,1,1+9*(E45-参数底稿!$E$9)/(参数底稿!$F$9-参数底稿!$E$9))))</f>
        <v>10</v>
      </c>
      <c r="H45" s="3">
        <f t="shared" si="2"/>
        <v>9.86141154903758</v>
      </c>
    </row>
    <row r="46" spans="1:8">
      <c r="A46" t="s">
        <v>30</v>
      </c>
      <c r="B46" t="s">
        <v>21</v>
      </c>
      <c r="C46" s="1">
        <v>2.3</v>
      </c>
      <c r="D46" s="1">
        <v>2.57</v>
      </c>
      <c r="E46" s="1">
        <v>0.105058365758755</v>
      </c>
      <c r="F46" s="3">
        <f>IF(ISBLANK(C46),0,IF(C46&lt;=参数底稿!$E$8,10,IF(C46&gt;=参数底稿!$F$8,1,1+9*(参数底稿!$F$8-C46)/(参数底稿!$F$8-参数底稿!$E$8))))</f>
        <v>6.04857928505958</v>
      </c>
      <c r="G46" s="3">
        <f>IF(ISBLANK(E46),0,IF(E46&gt;=参数底稿!$F$9,10,IF(E46&lt;=参数底稿!$E$9,1,1+9*(E46-参数底稿!$E$9)/(参数底稿!$F$9-参数底稿!$E$9))))</f>
        <v>8.12936936299882</v>
      </c>
      <c r="H46" s="3">
        <f t="shared" si="2"/>
        <v>6.67281630844135</v>
      </c>
    </row>
    <row r="47" spans="1:8">
      <c r="A47" t="s">
        <v>30</v>
      </c>
      <c r="B47" t="s">
        <v>24</v>
      </c>
      <c r="C47" s="1">
        <v>3.87</v>
      </c>
      <c r="D47" s="1">
        <v>4.3</v>
      </c>
      <c r="E47" s="1">
        <v>0.0999999999999999</v>
      </c>
      <c r="F47" s="3">
        <f>IF(ISBLANK(C47),0,IF(C47&lt;=参数底稿!$E$8,10,IF(C47&gt;=参数底稿!$F$8,1,1+9*(参数底稿!$F$8-C47)/(参数底稿!$F$8-参数底稿!$E$8))))</f>
        <v>1</v>
      </c>
      <c r="G47" s="3">
        <f>IF(ISBLANK(E47),0,IF(E47&gt;=参数底稿!$F$9,10,IF(E47&lt;=参数底稿!$E$9,1,1+9*(E47-参数底稿!$E$9)/(参数底稿!$F$9-参数底稿!$E$9))))</f>
        <v>7.93660525636085</v>
      </c>
      <c r="H47" s="3">
        <f t="shared" si="2"/>
        <v>3.08098157690826</v>
      </c>
    </row>
    <row r="48" spans="1:8">
      <c r="A48" t="s">
        <v>30</v>
      </c>
      <c r="B48" t="s">
        <v>27</v>
      </c>
      <c r="C48" s="1">
        <v>3.17</v>
      </c>
      <c r="D48" s="1">
        <v>3.51</v>
      </c>
      <c r="E48" s="1">
        <v>0.0968660968660968</v>
      </c>
      <c r="F48" s="3">
        <f>IF(ISBLANK(C48),0,IF(C48&lt;=参数底稿!$E$8,10,IF(C48&gt;=参数底稿!$F$8,1,1+9*(参数底稿!$F$8-C48)/(参数底稿!$F$8-参数底稿!$E$8))))</f>
        <v>2.46012832263978</v>
      </c>
      <c r="G48" s="3">
        <f>IF(ISBLANK(E48),0,IF(E48&gt;=参数底稿!$F$9,10,IF(E48&lt;=参数底稿!$E$9,1,1+9*(E48-参数底稿!$E$9)/(参数底稿!$F$9-参数底稿!$E$9))))</f>
        <v>7.81717853502281</v>
      </c>
      <c r="H48" s="3">
        <f t="shared" si="2"/>
        <v>4.06724338635469</v>
      </c>
    </row>
    <row r="49" spans="1:8">
      <c r="A49" t="s">
        <v>30</v>
      </c>
      <c r="B49" t="s">
        <v>18</v>
      </c>
      <c r="C49" s="1">
        <v>2.13</v>
      </c>
      <c r="D49" s="1">
        <v>2.34</v>
      </c>
      <c r="E49" s="1">
        <v>0.0897435897435897</v>
      </c>
      <c r="F49" s="3">
        <f>IF(ISBLANK(C49),0,IF(C49&lt;=参数底稿!$E$8,10,IF(C49&gt;=参数底稿!$F$8,1,1+9*(参数底稿!$F$8-C49)/(参数底稿!$F$8-参数底稿!$E$8))))</f>
        <v>6.74977085242896</v>
      </c>
      <c r="G49" s="3">
        <f>IF(ISBLANK(E49),0,IF(E49&gt;=参数底稿!$F$9,10,IF(E49&lt;=参数底稿!$E$9,1,1+9*(E49-参数底稿!$E$9)/(参数底稿!$F$9-参数底稿!$E$9))))</f>
        <v>7.54575416834542</v>
      </c>
      <c r="H49" s="3">
        <f t="shared" si="2"/>
        <v>6.9885658472039</v>
      </c>
    </row>
    <row r="50" spans="1:8">
      <c r="A50" t="s">
        <v>30</v>
      </c>
      <c r="B50" t="s">
        <v>19</v>
      </c>
      <c r="C50" s="1">
        <v>3.5</v>
      </c>
      <c r="D50" s="1">
        <v>3.8</v>
      </c>
      <c r="E50" s="1">
        <v>0.0789473684210526</v>
      </c>
      <c r="F50" s="3">
        <f>IF(ISBLANK(C50),0,IF(C50&lt;=参数底稿!$E$8,10,IF(C50&gt;=参数底稿!$F$8,1,1+9*(参数底稿!$F$8-C50)/(参数底稿!$F$8-参数底稿!$E$8))))</f>
        <v>1.09899175068744</v>
      </c>
      <c r="G50" s="3">
        <f>IF(ISBLANK(E50),0,IF(E50&gt;=参数底稿!$F$9,10,IF(E50&lt;=参数底稿!$E$9,1,1+9*(E50-参数底稿!$E$9)/(参数底稿!$F$9-参数底稿!$E$9))))</f>
        <v>7.13433197043445</v>
      </c>
      <c r="H50" s="3">
        <f t="shared" si="2"/>
        <v>2.90959381661154</v>
      </c>
    </row>
    <row r="51" spans="1:8">
      <c r="A51" t="s">
        <v>30</v>
      </c>
      <c r="B51" t="s">
        <v>17</v>
      </c>
      <c r="C51" s="1">
        <v>2.78664755167914</v>
      </c>
      <c r="D51" s="1">
        <v>2.96749352890423</v>
      </c>
      <c r="E51" s="1">
        <v>0.0609423324646182</v>
      </c>
      <c r="F51" s="3">
        <f>IF(ISBLANK(C51),0,IF(C51&lt;=参数底稿!$E$8,10,IF(C51&gt;=参数底稿!$F$8,1,1+9*(参数底稿!$F$8-C51)/(参数底稿!$F$8-参数底稿!$E$8))))</f>
        <v>4.04132540553975</v>
      </c>
      <c r="G51" s="3">
        <f>IF(ISBLANK(E51),0,IF(E51&gt;=参数底稿!$F$9,10,IF(E51&lt;=参数底稿!$E$9,1,1+9*(E51-参数底稿!$E$9)/(参数底稿!$F$9-参数底稿!$E$9))))</f>
        <v>6.44819640083483</v>
      </c>
      <c r="H51" s="3">
        <f t="shared" si="2"/>
        <v>4.76338670412828</v>
      </c>
    </row>
    <row r="52" spans="1:8">
      <c r="A52" t="s">
        <v>30</v>
      </c>
      <c r="B52" t="s">
        <v>13</v>
      </c>
      <c r="C52" s="1">
        <v>2.36</v>
      </c>
      <c r="D52" s="1">
        <v>2.5</v>
      </c>
      <c r="E52" s="1">
        <v>0.056</v>
      </c>
      <c r="F52" s="3">
        <f>IF(ISBLANK(C52),0,IF(C52&lt;=参数底稿!$E$8,10,IF(C52&gt;=参数底稿!$F$8,1,1+9*(参数底稿!$F$8-C52)/(参数底稿!$F$8-参数底稿!$E$8))))</f>
        <v>5.80109990834097</v>
      </c>
      <c r="G52" s="3">
        <f>IF(ISBLANK(E52),0,IF(E52&gt;=参数底稿!$F$9,10,IF(E52&lt;=参数底稿!$E$9,1,1+9*(E52-参数底稿!$E$9)/(参数底稿!$F$9-参数底稿!$E$9))))</f>
        <v>6.25985408877466</v>
      </c>
      <c r="H52" s="3">
        <f t="shared" si="2"/>
        <v>5.93872616247108</v>
      </c>
    </row>
    <row r="53" spans="1:8">
      <c r="A53" t="s">
        <v>30</v>
      </c>
      <c r="B53" t="s">
        <v>14</v>
      </c>
      <c r="C53" s="1">
        <v>2.33</v>
      </c>
      <c r="D53" s="1">
        <v>2.39</v>
      </c>
      <c r="E53" s="1">
        <v>0.0251046025104603</v>
      </c>
      <c r="F53" s="3">
        <f>IF(ISBLANK(C53),0,IF(C53&lt;=参数底稿!$E$8,10,IF(C53&gt;=参数底稿!$F$8,1,1+9*(参数底稿!$F$8-C53)/(参数底稿!$F$8-参数底稿!$E$8))))</f>
        <v>5.92483959670027</v>
      </c>
      <c r="G53" s="3">
        <f>IF(ISBLANK(E53),0,IF(E53&gt;=参数底稿!$F$9,10,IF(E53&lt;=参数底稿!$E$9,1,1+9*(E53-参数底稿!$E$9)/(参数底稿!$F$9-参数底稿!$E$9))))</f>
        <v>5.08249286573772</v>
      </c>
      <c r="H53" s="3">
        <f t="shared" si="2"/>
        <v>5.67213557741151</v>
      </c>
    </row>
    <row r="54" spans="1:8">
      <c r="A54" t="s">
        <v>30</v>
      </c>
      <c r="B54" t="s">
        <v>20</v>
      </c>
      <c r="C54" s="1">
        <v>1.87</v>
      </c>
      <c r="D54" s="1">
        <v>1.9</v>
      </c>
      <c r="E54" s="1">
        <v>0.0157894736842104</v>
      </c>
      <c r="F54" s="3">
        <f>IF(ISBLANK(C54),0,IF(C54&lt;=参数底稿!$E$8,10,IF(C54&gt;=参数底稿!$F$8,1,1+9*(参数底稿!$F$8-C54)/(参数底稿!$F$8-参数底稿!$E$8))))</f>
        <v>7.82218148487626</v>
      </c>
      <c r="G54" s="3">
        <f>IF(ISBLANK(E54),0,IF(E54&gt;=参数底稿!$F$9,10,IF(E54&lt;=参数底稿!$E$9,1,1+9*(E54-参数底稿!$E$9)/(参数底稿!$F$9-参数底稿!$E$9))))</f>
        <v>4.72751211265521</v>
      </c>
      <c r="H54" s="3">
        <f t="shared" si="2"/>
        <v>6.89378067320995</v>
      </c>
    </row>
    <row r="55" spans="1:8">
      <c r="A55" t="s">
        <v>30</v>
      </c>
      <c r="B55" t="s">
        <v>22</v>
      </c>
      <c r="C55" s="1">
        <v>2.28</v>
      </c>
      <c r="D55" s="1">
        <v>2.3</v>
      </c>
      <c r="E55" s="1">
        <v>0.00869565217391305</v>
      </c>
      <c r="F55" s="3">
        <f>IF(ISBLANK(C55),0,IF(C55&lt;=参数底稿!$E$8,10,IF(C55&gt;=参数底稿!$F$8,1,1+9*(参数底稿!$F$8-C55)/(参数底稿!$F$8-参数底稿!$E$8))))</f>
        <v>6.13107241063245</v>
      </c>
      <c r="G55" s="3">
        <f>IF(ISBLANK(E55),0,IF(E55&gt;=参数底稿!$F$9,10,IF(E55&lt;=参数底稿!$E$9,1,1+9*(E55-参数底稿!$E$9)/(参数底稿!$F$9-参数底稿!$E$9))))</f>
        <v>4.45718089674523</v>
      </c>
      <c r="H55" s="3">
        <f t="shared" si="2"/>
        <v>5.62890495646628</v>
      </c>
    </row>
    <row r="56" spans="1:8">
      <c r="A56" t="s">
        <v>30</v>
      </c>
      <c r="B56" t="s">
        <v>31</v>
      </c>
      <c r="C56" s="1">
        <v>2.33</v>
      </c>
      <c r="D56" s="1">
        <v>2.35</v>
      </c>
      <c r="E56" s="1">
        <v>0.00851063829787235</v>
      </c>
      <c r="F56" s="3">
        <f>IF(ISBLANK(C56),0,IF(C56&lt;=参数底稿!$E$8,10,IF(C56&gt;=参数底稿!$F$8,1,1+9*(参数底稿!$F$8-C56)/(参数底稿!$F$8-参数底稿!$E$8))))</f>
        <v>5.92483959670027</v>
      </c>
      <c r="G56" s="3">
        <f>IF(ISBLANK(E56),0,IF(E56&gt;=参数底稿!$F$9,10,IF(E56&lt;=参数底稿!$E$9,1,1+9*(E56-参数底稿!$E$9)/(参数底稿!$F$9-参数底稿!$E$9))))</f>
        <v>4.45013039145725</v>
      </c>
      <c r="H56" s="3">
        <f t="shared" si="2"/>
        <v>5.48242683512737</v>
      </c>
    </row>
    <row r="57" spans="1:8">
      <c r="A57" t="s">
        <v>30</v>
      </c>
      <c r="B57" t="s">
        <v>16</v>
      </c>
      <c r="C57" s="1">
        <v>2.74</v>
      </c>
      <c r="D57" s="1">
        <v>2.66</v>
      </c>
      <c r="E57" s="1">
        <v>-0.0300751879699248</v>
      </c>
      <c r="F57" s="3">
        <f>IF(ISBLANK(C57),0,IF(C57&lt;=参数底稿!$E$8,10,IF(C57&gt;=参数底稿!$F$8,1,1+9*(参数底稿!$F$8-C57)/(参数底稿!$F$8-参数底稿!$E$8))))</f>
        <v>4.23373052245646</v>
      </c>
      <c r="G57" s="3">
        <f>IF(ISBLANK(E57),0,IF(E57&gt;=参数底稿!$F$9,10,IF(E57&lt;=参数底稿!$E$9,1,1+9*(E57-参数底稿!$E$9)/(参数底稿!$F$9-参数底稿!$E$9))))</f>
        <v>2.97970245402982</v>
      </c>
      <c r="H57" s="3">
        <f t="shared" si="2"/>
        <v>3.85752210192847</v>
      </c>
    </row>
    <row r="58" spans="1:8">
      <c r="A58" t="s">
        <v>30</v>
      </c>
      <c r="B58" t="s">
        <v>15</v>
      </c>
      <c r="C58" s="1">
        <v>1.57</v>
      </c>
      <c r="D58" s="1">
        <v>1.48</v>
      </c>
      <c r="E58" s="1">
        <v>-0.0608108108108109</v>
      </c>
      <c r="F58" s="3">
        <f>IF(ISBLANK(C58),0,IF(C58&lt;=参数底稿!$E$8,10,IF(C58&gt;=参数底稿!$F$8,1,1+9*(参数底稿!$F$8-C58)/(参数底稿!$F$8-参数底稿!$E$8))))</f>
        <v>9.05957836846929</v>
      </c>
      <c r="G58" s="3">
        <f>IF(ISBLANK(E58),0,IF(E58&gt;=参数底稿!$F$9,10,IF(E58&lt;=参数底稿!$E$9,1,1+9*(E58-参数底稿!$E$9)/(参数底稿!$F$9-参数底稿!$E$9))))</f>
        <v>1.80842992028108</v>
      </c>
      <c r="H58" s="3">
        <f t="shared" si="2"/>
        <v>6.88423383401283</v>
      </c>
    </row>
    <row r="59" spans="1:8">
      <c r="A59" t="s">
        <v>30</v>
      </c>
      <c r="B59" t="s">
        <v>23</v>
      </c>
      <c r="C59" s="1">
        <v>3.62</v>
      </c>
      <c r="D59" s="1">
        <v>3.25</v>
      </c>
      <c r="E59" s="1">
        <v>-0.113846153846154</v>
      </c>
      <c r="F59" s="3">
        <f>IF(ISBLANK(C59),0,IF(C59&lt;=参数底稿!$E$8,10,IF(C59&gt;=参数底稿!$F$8,1,1+9*(参数底稿!$F$8-C59)/(参数底稿!$F$8-参数底稿!$E$8))))</f>
        <v>1</v>
      </c>
      <c r="G59" s="3">
        <f>IF(ISBLANK(E59),0,IF(E59&gt;=参数底稿!$F$9,10,IF(E59&lt;=参数底稿!$E$9,1,1+9*(E59-参数底稿!$E$9)/(参数底稿!$F$9-参数底稿!$E$9))))</f>
        <v>1</v>
      </c>
      <c r="H59" s="3">
        <f t="shared" si="2"/>
        <v>1</v>
      </c>
    </row>
    <row r="60" spans="1:8">
      <c r="A60" t="s">
        <v>30</v>
      </c>
      <c r="B60" t="s">
        <v>9</v>
      </c>
      <c r="C60" s="1">
        <v>2.49</v>
      </c>
      <c r="D60" s="1">
        <v>1.85</v>
      </c>
      <c r="E60" s="1">
        <v>-0.345945945945946</v>
      </c>
      <c r="F60" s="3">
        <f>IF(ISBLANK(C60),0,IF(C60&lt;=参数底稿!$E$8,10,IF(C60&gt;=参数底稿!$F$8,1,1+9*(参数底稿!$F$8-C60)/(参数底稿!$F$8-参数底稿!$E$8))))</f>
        <v>5.26489459211732</v>
      </c>
      <c r="G60" s="3">
        <f>IF(ISBLANK(E60),0,IF(E60&gt;=参数底稿!$F$9,10,IF(E60&lt;=参数底稿!$E$9,1,1+9*(E60-参数底稿!$E$9)/(参数底稿!$F$9-参数底稿!$E$9))))</f>
        <v>1</v>
      </c>
      <c r="H60" s="3">
        <f t="shared" si="2"/>
        <v>3.98542621448213</v>
      </c>
    </row>
    <row r="61" spans="1:8">
      <c r="A61" t="s">
        <v>30</v>
      </c>
      <c r="B61" t="s">
        <v>11</v>
      </c>
      <c r="C61" s="1">
        <v>1.48845853022801</v>
      </c>
      <c r="D61" s="1"/>
      <c r="E61" s="1"/>
      <c r="F61" s="3">
        <f>IF(ISBLANK(C61),0,IF(C61&lt;=参数底稿!$E$8,10,IF(C61&gt;=参数底稿!$F$8,1,1+9*(参数底稿!$F$8-C61)/(参数底稿!$F$8-参数底稿!$E$8))))</f>
        <v>9.39590890373415</v>
      </c>
      <c r="G61" s="3">
        <f>IF(ISBLANK(E61),0,IF(E61&gt;=参数底稿!$F$9,10,IF(E61&lt;=参数底稿!$E$9,1,1+9*(E61-参数底稿!$E$9)/(参数底稿!$F$9-参数底稿!$E$9))))</f>
        <v>0</v>
      </c>
      <c r="H61" s="3">
        <f t="shared" si="2"/>
        <v>6.5771362326139</v>
      </c>
    </row>
    <row r="62" spans="1:8">
      <c r="A62" t="s">
        <v>30</v>
      </c>
      <c r="B62" t="s">
        <v>10</v>
      </c>
      <c r="C62" s="1">
        <v>1.15</v>
      </c>
      <c r="D62" s="1"/>
      <c r="E62" s="1"/>
      <c r="F62" s="3">
        <f>IF(ISBLANK(C62),0,IF(C62&lt;=参数底稿!$E$8,10,IF(C62&gt;=参数底稿!$F$8,1,1+9*(参数底稿!$F$8-C62)/(参数底稿!$F$8-参数底稿!$E$8))))</f>
        <v>10</v>
      </c>
      <c r="G62" s="3">
        <f>IF(ISBLANK(E62),0,IF(E62&gt;=参数底稿!$F$9,10,IF(E62&lt;=参数底稿!$E$9,1,1+9*(E62-参数底稿!$E$9)/(参数底稿!$F$9-参数底稿!$E$9))))</f>
        <v>0</v>
      </c>
      <c r="H62" s="3">
        <f t="shared" si="2"/>
        <v>7</v>
      </c>
    </row>
    <row r="63" spans="1:8">
      <c r="A63" t="s">
        <v>30</v>
      </c>
      <c r="B63" t="s">
        <v>25</v>
      </c>
      <c r="C63" s="1"/>
      <c r="D63" s="1"/>
      <c r="E63" s="1"/>
      <c r="F63" s="3">
        <f>IF(ISBLANK(C63),0,IF(C63&lt;=参数底稿!$E$8,10,IF(C63&gt;=参数底稿!$F$8,1,1+9*(参数底稿!$F$8-C63)/(参数底稿!$F$8-参数底稿!$E$8))))</f>
        <v>0</v>
      </c>
      <c r="G63" s="3">
        <f>IF(ISBLANK(E63),0,IF(E63&gt;=参数底稿!$F$9,10,IF(E63&lt;=参数底稿!$E$9,1,1+9*(E63-参数底稿!$E$9)/(参数底稿!$F$9-参数底稿!$E$9))))</f>
        <v>0</v>
      </c>
      <c r="H63" s="3">
        <f t="shared" si="2"/>
        <v>0</v>
      </c>
    </row>
    <row r="64" spans="3:5">
      <c r="C64" s="1"/>
      <c r="D64" s="1"/>
      <c r="E64" s="1"/>
    </row>
    <row r="65" spans="1:8">
      <c r="A65" t="s">
        <v>32</v>
      </c>
      <c r="B65" t="s">
        <v>11</v>
      </c>
      <c r="C65" s="1">
        <v>0.000372403013302188</v>
      </c>
      <c r="D65" s="1">
        <v>0.000155851814842296</v>
      </c>
      <c r="E65" s="1">
        <v>1.38946857102059</v>
      </c>
      <c r="F65" s="3">
        <f>IF(ISBLANK(C65),0,IF(C65&gt;=参数底稿!$F$11,10,IF(C65&lt;=参数底稿!$E$11,1,1+9*(C65-参数底稿!$E$11)/(参数底稿!$F$11-参数底稿!$E$11))))</f>
        <v>1.02676487867453</v>
      </c>
      <c r="G65" s="3">
        <f>IF(ISBLANK(E65),0,IF(E65&gt;=参数底稿!$F$12,10,IF(E65&lt;=参数底稿!$E$12,1,1+9*(E65-参数底稿!$E$12)/(参数底稿!$F$12-参数底稿!$E$12))))</f>
        <v>10</v>
      </c>
      <c r="H65" s="3">
        <f t="shared" ref="H64:H84" si="3">0.7*F65+0.3*G65</f>
        <v>3.71873541507217</v>
      </c>
    </row>
    <row r="66" spans="1:8">
      <c r="A66" t="s">
        <v>32</v>
      </c>
      <c r="B66" t="s">
        <v>27</v>
      </c>
      <c r="C66" s="1">
        <v>0.0624185228204105</v>
      </c>
      <c r="D66" s="1">
        <v>0.0360223757855398</v>
      </c>
      <c r="E66" s="1">
        <v>0.732770853094777</v>
      </c>
      <c r="F66" s="3">
        <f>IF(ISBLANK(C66),0,IF(C66&gt;=参数底稿!$F$11,10,IF(C66&lt;=参数底稿!$E$11,1,1+9*(C66-参数底稿!$E$11)/(参数底稿!$F$11-参数底稿!$E$11))))</f>
        <v>9.61327467761009</v>
      </c>
      <c r="G66" s="3">
        <f>IF(ISBLANK(E66),0,IF(E66&gt;=参数底稿!$F$12,10,IF(E66&lt;=参数底稿!$E$12,1,1+9*(E66-参数底稿!$E$12)/(参数底稿!$F$12-参数底稿!$E$12))))</f>
        <v>10</v>
      </c>
      <c r="H66" s="3">
        <f t="shared" si="3"/>
        <v>9.72929227432706</v>
      </c>
    </row>
    <row r="67" spans="1:8">
      <c r="A67" t="s">
        <v>32</v>
      </c>
      <c r="B67" t="s">
        <v>19</v>
      </c>
      <c r="C67" s="1">
        <v>8.03961066480742e-5</v>
      </c>
      <c r="D67" s="1">
        <v>4.73092808516218e-5</v>
      </c>
      <c r="E67" s="1">
        <v>0.699372833424042</v>
      </c>
      <c r="F67" s="3">
        <f>IF(ISBLANK(C67),0,IF(C67&gt;=参数底稿!$F$11,10,IF(C67&lt;=参数底稿!$E$11,1,1+9*(C67-参数底稿!$E$11)/(参数底稿!$F$11-参数底稿!$E$11))))</f>
        <v>1</v>
      </c>
      <c r="G67" s="3">
        <f>IF(ISBLANK(E67),0,IF(E67&gt;=参数底稿!$F$12,10,IF(E67&lt;=参数底稿!$E$12,1,1+9*(E67-参数底稿!$E$12)/(参数底稿!$F$12-参数底稿!$E$12))))</f>
        <v>9.73919712826153</v>
      </c>
      <c r="H67" s="3">
        <f t="shared" si="3"/>
        <v>3.62175913847846</v>
      </c>
    </row>
    <row r="68" spans="1:8">
      <c r="A68" t="s">
        <v>32</v>
      </c>
      <c r="B68" t="s">
        <v>21</v>
      </c>
      <c r="C68" s="1">
        <v>0.0680074932197545</v>
      </c>
      <c r="D68" s="1">
        <v>0.0439618222087669</v>
      </c>
      <c r="E68" s="1">
        <v>0.546967113801585</v>
      </c>
      <c r="F68" s="3">
        <f>IF(ISBLANK(C68),0,IF(C68&gt;=参数底稿!$F$11,10,IF(C68&lt;=参数底稿!$E$11,1,1+9*(C68-参数底稿!$E$11)/(参数底稿!$F$11-参数底稿!$E$11))))</f>
        <v>10</v>
      </c>
      <c r="G68" s="3">
        <f>IF(ISBLANK(E68),0,IF(E68&gt;=参数底稿!$F$12,10,IF(E68&lt;=参数底稿!$E$12,1,1+9*(E68-参数底稿!$E$12)/(参数底稿!$F$12-参数底稿!$E$12))))</f>
        <v>8.03898470066336</v>
      </c>
      <c r="H68" s="3">
        <f t="shared" si="3"/>
        <v>9.41169541019901</v>
      </c>
    </row>
    <row r="69" spans="1:8">
      <c r="A69" t="s">
        <v>32</v>
      </c>
      <c r="B69" t="s">
        <v>13</v>
      </c>
      <c r="C69" s="1">
        <v>0.00141032958693176</v>
      </c>
      <c r="D69" s="1">
        <v>0.00100749629800665</v>
      </c>
      <c r="E69" s="1">
        <v>0.399835999121905</v>
      </c>
      <c r="F69" s="3">
        <f>IF(ISBLANK(C69),0,IF(C69&gt;=参数底稿!$F$11,10,IF(C69&lt;=参数底稿!$E$11,1,1+9*(C69-参数底稿!$E$11)/(参数底稿!$F$11-参数底稿!$E$11))))</f>
        <v>1.17040265526318</v>
      </c>
      <c r="G69" s="3">
        <f>IF(ISBLANK(E69),0,IF(E69&gt;=参数底稿!$F$12,10,IF(E69&lt;=参数底稿!$E$12,1,1+9*(E69-参数底稿!$E$12)/(参数底稿!$F$12-参数底稿!$E$12))))</f>
        <v>6.39761487356991</v>
      </c>
      <c r="H69" s="3">
        <f t="shared" si="3"/>
        <v>2.7385663207552</v>
      </c>
    </row>
    <row r="70" spans="1:8">
      <c r="A70" t="s">
        <v>32</v>
      </c>
      <c r="B70" t="s">
        <v>20</v>
      </c>
      <c r="C70" s="1">
        <v>0.00606999598327849</v>
      </c>
      <c r="D70" s="1">
        <v>0.00471740090323314</v>
      </c>
      <c r="E70" s="1">
        <v>0.28672464091791</v>
      </c>
      <c r="F70" s="3">
        <f>IF(ISBLANK(C70),0,IF(C70&gt;=参数底稿!$F$11,10,IF(C70&lt;=参数底稿!$E$11,1,1+9*(C70-参数底稿!$E$11)/(参数底稿!$F$11-参数底稿!$E$11))))</f>
        <v>1.81524992849135</v>
      </c>
      <c r="G70" s="3">
        <f>IF(ISBLANK(E70),0,IF(E70&gt;=参数底稿!$F$12,10,IF(E70&lt;=参数底稿!$E$12,1,1+9*(E70-参数底稿!$E$12)/(参数底稿!$F$12-参数底稿!$E$12))))</f>
        <v>5.13576369503577</v>
      </c>
      <c r="H70" s="3">
        <f t="shared" si="3"/>
        <v>2.81140405845467</v>
      </c>
    </row>
    <row r="71" spans="1:8">
      <c r="A71" t="s">
        <v>32</v>
      </c>
      <c r="B71" t="s">
        <v>14</v>
      </c>
      <c r="C71" s="1">
        <v>2.37251028486573e-5</v>
      </c>
      <c r="D71" s="1">
        <v>1.90383325658109e-5</v>
      </c>
      <c r="E71" s="1">
        <v>0.246175460305961</v>
      </c>
      <c r="F71" s="3">
        <f>IF(ISBLANK(C71),0,IF(C71&gt;=参数底稿!$F$11,10,IF(C71&lt;=参数底稿!$E$11,1,1+9*(C71-参数底稿!$E$11)/(参数底稿!$F$11-参数底稿!$E$11))))</f>
        <v>1</v>
      </c>
      <c r="G71" s="3">
        <f>IF(ISBLANK(E71),0,IF(E71&gt;=参数底稿!$F$12,10,IF(E71&lt;=参数底稿!$E$12,1,1+9*(E71-参数底稿!$E$12)/(参数底稿!$F$12-参数底稿!$E$12))))</f>
        <v>4.68340389531077</v>
      </c>
      <c r="H71" s="3">
        <f t="shared" si="3"/>
        <v>2.10502116859323</v>
      </c>
    </row>
    <row r="72" spans="1:8">
      <c r="A72" t="s">
        <v>32</v>
      </c>
      <c r="B72" t="s">
        <v>24</v>
      </c>
      <c r="C72" s="1">
        <v>0.000383432651376743</v>
      </c>
      <c r="D72" s="1">
        <v>0.000330084463075269</v>
      </c>
      <c r="E72" s="1">
        <v>0.161619810288705</v>
      </c>
      <c r="F72" s="3">
        <f>IF(ISBLANK(C72),0,IF(C72&gt;=参数底稿!$F$11,10,IF(C72&lt;=参数底稿!$E$11,1,1+9*(C72-参数底稿!$E$11)/(参数底稿!$F$11-参数底稿!$E$11))))</f>
        <v>1.02829126091569</v>
      </c>
      <c r="G72" s="3">
        <f>IF(ISBLANK(E72),0,IF(E72&gt;=参数底稿!$F$12,10,IF(E72&lt;=参数底稿!$E$12,1,1+9*(E72-参数底稿!$E$12)/(参数底稿!$F$12-参数底稿!$E$12))))</f>
        <v>3.74011536690703</v>
      </c>
      <c r="H72" s="3">
        <f t="shared" si="3"/>
        <v>1.84183849271309</v>
      </c>
    </row>
    <row r="73" spans="1:8">
      <c r="A73" t="s">
        <v>32</v>
      </c>
      <c r="B73" t="s">
        <v>16</v>
      </c>
      <c r="C73" s="1">
        <v>0.0399779563529325</v>
      </c>
      <c r="D73" s="1">
        <v>0.0344683963249667</v>
      </c>
      <c r="E73" s="1">
        <v>0.159843816811839</v>
      </c>
      <c r="F73" s="3">
        <f>IF(ISBLANK(C73),0,IF(C73&gt;=参数底稿!$F$11,10,IF(C73&lt;=参数底稿!$E$11,1,1+9*(C73-参数底稿!$E$11)/(参数底稿!$F$11-参数底稿!$E$11))))</f>
        <v>6.50774375213569</v>
      </c>
      <c r="G73" s="3">
        <f>IF(ISBLANK(E73),0,IF(E73&gt;=参数底稿!$F$12,10,IF(E73&lt;=参数底稿!$E$12,1,1+9*(E73-参数底稿!$E$12)/(参数底稿!$F$12-参数底稿!$E$12))))</f>
        <v>3.72030268410102</v>
      </c>
      <c r="H73" s="3">
        <f t="shared" si="3"/>
        <v>5.67151143172529</v>
      </c>
    </row>
    <row r="74" spans="1:8">
      <c r="A74" t="s">
        <v>32</v>
      </c>
      <c r="B74" t="s">
        <v>18</v>
      </c>
      <c r="C74" s="1">
        <v>0.0533226490608437</v>
      </c>
      <c r="D74" s="1">
        <v>0.0481963873835393</v>
      </c>
      <c r="E74" s="1">
        <v>0.106361948593998</v>
      </c>
      <c r="F74" s="3">
        <f>IF(ISBLANK(C74),0,IF(C74&gt;=参数底稿!$F$11,10,IF(C74&lt;=参数底稿!$E$11,1,1+9*(C74-参数底稿!$E$11)/(参数底稿!$F$11-参数底稿!$E$11))))</f>
        <v>8.35450443687292</v>
      </c>
      <c r="G74" s="3">
        <f>IF(ISBLANK(E74),0,IF(E74&gt;=参数底稿!$F$12,10,IF(E74&lt;=参数底稿!$E$12,1,1+9*(E74-参数底稿!$E$12)/(参数底稿!$F$12-参数底稿!$E$12))))</f>
        <v>3.12366800910066</v>
      </c>
      <c r="H74" s="3">
        <f t="shared" si="3"/>
        <v>6.78525350854124</v>
      </c>
    </row>
    <row r="75" spans="1:8">
      <c r="A75" t="s">
        <v>32</v>
      </c>
      <c r="B75" t="s">
        <v>15</v>
      </c>
      <c r="C75" s="1">
        <v>0.000557162936617425</v>
      </c>
      <c r="D75" s="1">
        <v>0.000583386801685406</v>
      </c>
      <c r="E75" s="1">
        <v>-0.0449510770422301</v>
      </c>
      <c r="F75" s="3">
        <f>IF(ISBLANK(C75),0,IF(C75&gt;=参数底稿!$F$11,10,IF(C75&lt;=参数底稿!$E$11,1,1+9*(C75-参数底稿!$E$11)/(参数底稿!$F$11-参数底稿!$E$11))))</f>
        <v>1.05233364746989</v>
      </c>
      <c r="G75" s="3">
        <f>IF(ISBLANK(E75),0,IF(E75&gt;=参数底稿!$F$12,10,IF(E75&lt;=参数底稿!$E$12,1,1+9*(E75-参数底稿!$E$12)/(参数底稿!$F$12-参数底稿!$E$12))))</f>
        <v>1.4356454907759</v>
      </c>
      <c r="H75" s="3">
        <f t="shared" si="3"/>
        <v>1.16732720046169</v>
      </c>
    </row>
    <row r="76" spans="1:8">
      <c r="A76" t="s">
        <v>32</v>
      </c>
      <c r="B76" t="s">
        <v>17</v>
      </c>
      <c r="C76" s="1">
        <v>0.478438521498617</v>
      </c>
      <c r="D76" s="1">
        <v>0.518375372931923</v>
      </c>
      <c r="E76" s="1">
        <v>-0.0770423394294827</v>
      </c>
      <c r="F76" s="3">
        <f>IF(ISBLANK(C76),0,IF(C76&gt;=参数底稿!$F$11,10,IF(C76&lt;=参数底稿!$E$11,1,1+9*(C76-参数底稿!$E$11)/(参数底稿!$F$11-参数底稿!$E$11))))</f>
        <v>10</v>
      </c>
      <c r="G76" s="3">
        <f>IF(ISBLANK(E76),0,IF(E76&gt;=参数底稿!$F$12,10,IF(E76&lt;=参数底稿!$E$12,1,1+9*(E76-参数底稿!$E$12)/(参数底稿!$F$12-参数底稿!$E$12))))</f>
        <v>1.07764079604867</v>
      </c>
      <c r="H76" s="3">
        <f t="shared" si="3"/>
        <v>7.3232922388146</v>
      </c>
    </row>
    <row r="77" spans="1:8">
      <c r="A77" t="s">
        <v>32</v>
      </c>
      <c r="B77" t="s">
        <v>12</v>
      </c>
      <c r="C77" s="1">
        <v>0.000276904962979923</v>
      </c>
      <c r="D77" s="1">
        <v>0.000303286445085516</v>
      </c>
      <c r="E77" s="1">
        <v>-0.086985364934969</v>
      </c>
      <c r="F77" s="3">
        <f>IF(ISBLANK(C77),0,IF(C77&gt;=参数底稿!$F$11,10,IF(C77&lt;=参数底稿!$E$11,1,1+9*(C77-参数底稿!$E$11)/(参数底稿!$F$11-参数底稿!$E$11))))</f>
        <v>1.01354898463603</v>
      </c>
      <c r="G77" s="3">
        <f>IF(ISBLANK(E77),0,IF(E77&gt;=参数底稿!$F$12,10,IF(E77&lt;=参数底稿!$E$12,1,1+9*(E77-参数底稿!$E$12)/(参数底稿!$F$12-参数底稿!$E$12))))</f>
        <v>1</v>
      </c>
      <c r="H77" s="3">
        <f t="shared" si="3"/>
        <v>1.00948428924522</v>
      </c>
    </row>
    <row r="78" spans="1:8">
      <c r="A78" t="s">
        <v>32</v>
      </c>
      <c r="B78" t="s">
        <v>9</v>
      </c>
      <c r="C78" s="1">
        <v>0.00122145177947433</v>
      </c>
      <c r="D78" s="1">
        <v>0.00138182982458103</v>
      </c>
      <c r="E78" s="1">
        <v>-0.116062081056417</v>
      </c>
      <c r="F78" s="3">
        <f>IF(ISBLANK(C78),0,IF(C78&gt;=参数底稿!$F$11,10,IF(C78&lt;=参数底稿!$E$11,1,1+9*(C78-参数底稿!$E$11)/(参数底稿!$F$11-参数底稿!$E$11))))</f>
        <v>1.14426401598039</v>
      </c>
      <c r="G78" s="3">
        <f>IF(ISBLANK(E78),0,IF(E78&gt;=参数底稿!$F$12,10,IF(E78&lt;=参数底稿!$E$12,1,1+9*(E78-参数底稿!$E$12)/(参数底稿!$F$12-参数底稿!$E$12))))</f>
        <v>1</v>
      </c>
      <c r="H78" s="3">
        <f t="shared" si="3"/>
        <v>1.10098481118628</v>
      </c>
    </row>
    <row r="79" spans="1:8">
      <c r="A79" t="s">
        <v>32</v>
      </c>
      <c r="B79" t="s">
        <v>22</v>
      </c>
      <c r="C79" s="1"/>
      <c r="D79" s="1"/>
      <c r="E79" s="1"/>
      <c r="F79" s="3">
        <f>IF(ISBLANK(C79),0,IF(C79&gt;=参数底稿!$F$11,10,IF(C79&lt;=参数底稿!$E$11,1,1+9*(C79-参数底稿!$E$11)/(参数底稿!$F$11-参数底稿!$E$11))))</f>
        <v>0</v>
      </c>
      <c r="G79" s="3">
        <f>IF(ISBLANK(E79),0,IF(E79&gt;=参数底稿!$F$12,10,IF(E79&lt;=参数底稿!$E$12,1,1+9*(E79-参数底稿!$E$12)/(参数底稿!$F$12-参数底稿!$E$12))))</f>
        <v>0</v>
      </c>
      <c r="H79" s="3">
        <f t="shared" si="3"/>
        <v>0</v>
      </c>
    </row>
    <row r="80" spans="1:8">
      <c r="A80" t="s">
        <v>32</v>
      </c>
      <c r="B80" t="s">
        <v>25</v>
      </c>
      <c r="C80" s="1">
        <v>0.00159834971853991</v>
      </c>
      <c r="D80" s="1"/>
      <c r="E80" s="1"/>
      <c r="F80" s="3">
        <f>IF(ISBLANK(C80),0,IF(C80&gt;=参数底稿!$F$11,10,IF(C80&lt;=参数底稿!$E$11,1,1+9*(C80-参数底稿!$E$11)/(参数底稿!$F$11-参数底稿!$E$11))))</f>
        <v>1.19642260151396</v>
      </c>
      <c r="G80" s="3">
        <f>IF(ISBLANK(E80),0,IF(E80&gt;=参数底稿!$F$12,10,IF(E80&lt;=参数底稿!$E$12,1,1+9*(E80-参数底稿!$E$12)/(参数底稿!$F$12-参数底稿!$E$12))))</f>
        <v>0</v>
      </c>
      <c r="H80" s="3">
        <f t="shared" si="3"/>
        <v>0.837495821059775</v>
      </c>
    </row>
    <row r="81" spans="1:8">
      <c r="A81" t="s">
        <v>32</v>
      </c>
      <c r="B81" t="s">
        <v>23</v>
      </c>
      <c r="C81" s="1"/>
      <c r="D81" s="1"/>
      <c r="E81" s="1"/>
      <c r="F81" s="3">
        <f>IF(ISBLANK(C81),0,IF(C81&gt;=参数底稿!$F$11,10,IF(C81&lt;=参数底稿!$E$11,1,1+9*(C81-参数底稿!$E$11)/(参数底稿!$F$11-参数底稿!$E$11))))</f>
        <v>0</v>
      </c>
      <c r="G81" s="3">
        <f>IF(ISBLANK(E81),0,IF(E81&gt;=参数底稿!$F$12,10,IF(E81&lt;=参数底稿!$E$12,1,1+9*(E81-参数底稿!$E$12)/(参数底稿!$F$12-参数底稿!$E$12))))</f>
        <v>0</v>
      </c>
      <c r="H81" s="3">
        <f t="shared" si="3"/>
        <v>0</v>
      </c>
    </row>
    <row r="82" spans="1:8">
      <c r="A82" t="s">
        <v>32</v>
      </c>
      <c r="B82" t="s">
        <v>10</v>
      </c>
      <c r="C82" s="1"/>
      <c r="D82" s="1"/>
      <c r="E82" s="1"/>
      <c r="F82" s="3">
        <f>IF(ISBLANK(C82),0,IF(C82&gt;=参数底稿!$F$11,10,IF(C82&lt;=参数底稿!$E$11,1,1+9*(C82-参数底稿!$E$11)/(参数底稿!$F$11-参数底稿!$E$11))))</f>
        <v>0</v>
      </c>
      <c r="G82" s="3">
        <f>IF(ISBLANK(E82),0,IF(E82&gt;=参数底稿!$F$12,10,IF(E82&lt;=参数底稿!$E$12,1,1+9*(E82-参数底稿!$E$12)/(参数底稿!$F$12-参数底稿!$E$12))))</f>
        <v>0</v>
      </c>
      <c r="H82" s="3">
        <f t="shared" si="3"/>
        <v>0</v>
      </c>
    </row>
    <row r="83" spans="1:8">
      <c r="A83" t="s">
        <v>32</v>
      </c>
      <c r="B83" t="s">
        <v>26</v>
      </c>
      <c r="C83" s="1">
        <v>0.00198905302031126</v>
      </c>
      <c r="D83" s="1"/>
      <c r="E83" s="1"/>
      <c r="F83" s="3">
        <f>IF(ISBLANK(C83),0,IF(C83&gt;=参数底稿!$F$11,10,IF(C83&lt;=参数底稿!$E$11,1,1+9*(C83-参数底稿!$E$11)/(参数底稿!$F$11-参数底稿!$E$11))))</f>
        <v>1.25049169946184</v>
      </c>
      <c r="G83" s="3">
        <f>IF(ISBLANK(E83),0,IF(E83&gt;=参数底稿!$F$12,10,IF(E83&lt;=参数底稿!$E$12,1,1+9*(E83-参数底稿!$E$12)/(参数底稿!$F$12-参数底稿!$E$12))))</f>
        <v>0</v>
      </c>
      <c r="H83" s="3">
        <f t="shared" si="3"/>
        <v>0.875344189623288</v>
      </c>
    </row>
    <row r="84" spans="1:8">
      <c r="A84" t="s">
        <v>32</v>
      </c>
      <c r="B84" t="s">
        <v>28</v>
      </c>
      <c r="C84" s="1"/>
      <c r="D84" s="1"/>
      <c r="E84" s="1"/>
      <c r="F84" s="3">
        <f>IF(ISBLANK(C84),0,IF(C84&gt;=参数底稿!$F$11,10,IF(C84&lt;=参数底稿!$E$11,1,1+9*(C84-参数底稿!$E$11)/(参数底稿!$F$11-参数底稿!$E$11))))</f>
        <v>0</v>
      </c>
      <c r="G84" s="3">
        <f>IF(ISBLANK(E84),0,IF(E84&gt;=参数底稿!$F$12,10,IF(E84&lt;=参数底稿!$E$12,1,1+9*(E84-参数底稿!$E$12)/(参数底稿!$F$12-参数底稿!$E$12))))</f>
        <v>0</v>
      </c>
      <c r="H84" s="3">
        <f t="shared" si="3"/>
        <v>0</v>
      </c>
    </row>
    <row r="85" spans="3:5">
      <c r="C85" s="1"/>
      <c r="D85" s="1"/>
      <c r="E85" s="1"/>
    </row>
    <row r="86" spans="1:8">
      <c r="A86" t="s">
        <v>33</v>
      </c>
      <c r="B86" t="s">
        <v>19</v>
      </c>
      <c r="C86" s="1">
        <v>0.000111329539153299</v>
      </c>
      <c r="D86" s="1">
        <v>8.16987580971782e-6</v>
      </c>
      <c r="E86" s="1">
        <v>12.6268337177018</v>
      </c>
      <c r="F86" s="3">
        <f>IF(ISBLANK(C86),0,IF(C86&gt;=参数底稿!$F$14,10,IF(C86&lt;=参数底稿!$E$14,1,1+9*(C86-参数底稿!$E$14)/(参数底稿!$F$14-参数底稿!$E$14))))</f>
        <v>1</v>
      </c>
      <c r="G86" s="3">
        <f>IF(ISBLANK(E86),0,IF(E86&gt;=参数底稿!$F$15,10,IF(E86&lt;=参数底稿!$E$15,1,1+9*(E86-参数底稿!$E$15)/(参数底稿!$F$15-参数底稿!$E$15))))</f>
        <v>10</v>
      </c>
      <c r="H86" s="3">
        <f t="shared" ref="H85:H105" si="4">0.7*F86+0.3*G86</f>
        <v>3.7</v>
      </c>
    </row>
    <row r="87" spans="1:8">
      <c r="A87" t="s">
        <v>33</v>
      </c>
      <c r="B87" t="s">
        <v>9</v>
      </c>
      <c r="C87" s="1">
        <v>0.00350085300651257</v>
      </c>
      <c r="D87" s="1">
        <v>0.000636843310459083</v>
      </c>
      <c r="E87" s="1">
        <v>4.49719679710366</v>
      </c>
      <c r="F87" s="3">
        <f>IF(ISBLANK(C87),0,IF(C87&gt;=参数底稿!$F$14,10,IF(C87&lt;=参数底稿!$E$14,1,1+9*(C87-参数底稿!$E$14)/(参数底稿!$F$14-参数底稿!$E$14))))</f>
        <v>1</v>
      </c>
      <c r="G87" s="3">
        <f>IF(ISBLANK(E87),0,IF(E87&gt;=参数底稿!$F$15,10,IF(E87&lt;=参数底稿!$E$15,1,1+9*(E87-参数底稿!$E$15)/(参数底稿!$F$15-参数底稿!$E$15))))</f>
        <v>8.62173833353953</v>
      </c>
      <c r="H87" s="3">
        <f t="shared" si="4"/>
        <v>3.28652150006186</v>
      </c>
    </row>
    <row r="88" spans="1:8">
      <c r="A88" t="s">
        <v>33</v>
      </c>
      <c r="B88" t="s">
        <v>13</v>
      </c>
      <c r="C88" s="1">
        <v>0.0171154296718001</v>
      </c>
      <c r="D88" s="1">
        <v>0.00385248328428386</v>
      </c>
      <c r="E88" s="1">
        <v>3.44270056709193</v>
      </c>
      <c r="F88" s="3">
        <f>IF(ISBLANK(C88),0,IF(C88&gt;=参数底稿!$F$14,10,IF(C88&lt;=参数底稿!$E$14,1,1+9*(C88-参数底稿!$E$14)/(参数底稿!$F$14-参数底稿!$E$14))))</f>
        <v>2.1491444071198</v>
      </c>
      <c r="G88" s="3">
        <f>IF(ISBLANK(E88),0,IF(E88&gt;=参数底稿!$F$15,10,IF(E88&lt;=参数底稿!$E$15,1,1+9*(E88-参数底稿!$E$15)/(参数底稿!$F$15-参数底稿!$E$15))))</f>
        <v>6.83399231247199</v>
      </c>
      <c r="H88" s="3">
        <f t="shared" si="4"/>
        <v>3.55459877872546</v>
      </c>
    </row>
    <row r="89" spans="1:8">
      <c r="A89" t="s">
        <v>33</v>
      </c>
      <c r="B89" t="s">
        <v>25</v>
      </c>
      <c r="C89" s="1">
        <v>0.0136608146019449</v>
      </c>
      <c r="D89" s="1">
        <v>0.00634976097409899</v>
      </c>
      <c r="E89" s="1">
        <v>1.15139036849861</v>
      </c>
      <c r="F89" s="3">
        <f>IF(ISBLANK(C89),0,IF(C89&gt;=参数底稿!$F$14,10,IF(C89&lt;=参数底稿!$E$14,1,1+9*(C89-参数底稿!$E$14)/(参数底稿!$F$14-参数底稿!$E$14))))</f>
        <v>1.85563420577272</v>
      </c>
      <c r="G89" s="3">
        <f>IF(ISBLANK(E89),0,IF(E89&gt;=参数底稿!$F$15,10,IF(E89&lt;=参数底稿!$E$15,1,1+9*(E89-参数底稿!$E$15)/(参数底稿!$F$15-参数底稿!$E$15))))</f>
        <v>2.94940688297158</v>
      </c>
      <c r="H89" s="3">
        <f t="shared" si="4"/>
        <v>2.18376600893238</v>
      </c>
    </row>
    <row r="90" spans="1:8">
      <c r="A90" t="s">
        <v>33</v>
      </c>
      <c r="B90" t="s">
        <v>17</v>
      </c>
      <c r="C90" s="1">
        <v>0.0804626602967061</v>
      </c>
      <c r="D90" s="1">
        <v>0.0621101166259832</v>
      </c>
      <c r="E90" s="1">
        <v>0.295483967309848</v>
      </c>
      <c r="F90" s="3">
        <f>IF(ISBLANK(C90),0,IF(C90&gt;=参数底稿!$F$14,10,IF(C90&lt;=参数底稿!$E$14,1,1+9*(C90-参数底稿!$E$14)/(参数底稿!$F$14-参数底稿!$E$14))))</f>
        <v>7.53123706853918</v>
      </c>
      <c r="G90" s="3">
        <f>IF(ISBLANK(E90),0,IF(E90&gt;=参数底稿!$F$15,10,IF(E90&lt;=参数底稿!$E$15,1,1+9*(E90-参数底稿!$E$15)/(参数底稿!$F$15-参数底稿!$E$15))))</f>
        <v>1.49834122755959</v>
      </c>
      <c r="H90" s="3">
        <f t="shared" si="4"/>
        <v>5.7213683162453</v>
      </c>
    </row>
    <row r="91" spans="1:8">
      <c r="A91" t="s">
        <v>33</v>
      </c>
      <c r="B91" t="s">
        <v>20</v>
      </c>
      <c r="C91" s="1">
        <v>0.0060601099112566</v>
      </c>
      <c r="D91" s="1">
        <v>0.00469711100687515</v>
      </c>
      <c r="E91" s="1">
        <v>0.290178133407201</v>
      </c>
      <c r="F91" s="3">
        <f>IF(ISBLANK(C91),0,IF(C91&gt;=参数底稿!$F$14,10,IF(C91&lt;=参数底稿!$E$14,1,1+9*(C91-参数底稿!$E$14)/(参数底稿!$F$14-参数底稿!$E$14))))</f>
        <v>1.20986490325035</v>
      </c>
      <c r="G91" s="3">
        <f>IF(ISBLANK(E91),0,IF(E91&gt;=参数底稿!$F$15,10,IF(E91&lt;=参数底稿!$E$15,1,1+9*(E91-参数底稿!$E$15)/(参数底稿!$F$15-参数底稿!$E$15))))</f>
        <v>1.48934595268052</v>
      </c>
      <c r="H91" s="3">
        <f t="shared" si="4"/>
        <v>1.2937092180794</v>
      </c>
    </row>
    <row r="92" spans="1:8">
      <c r="A92" t="s">
        <v>33</v>
      </c>
      <c r="B92" t="s">
        <v>11</v>
      </c>
      <c r="C92" s="1">
        <v>0.018204063376538</v>
      </c>
      <c r="D92" s="1">
        <v>0.0152581851838756</v>
      </c>
      <c r="E92" s="1">
        <v>0.193068714081115</v>
      </c>
      <c r="F92" s="3">
        <f>IF(ISBLANK(C92),0,IF(C92&gt;=参数底稿!$F$14,10,IF(C92&lt;=参数底稿!$E$14,1,1+9*(C92-参数底稿!$E$14)/(参数底稿!$F$14-参数底稿!$E$14))))</f>
        <v>2.241636650513</v>
      </c>
      <c r="G92" s="3">
        <f>IF(ISBLANK(E92),0,IF(E92&gt;=参数底稿!$F$15,10,IF(E92&lt;=参数底稿!$E$15,1,1+9*(E92-参数底稿!$E$15)/(参数底稿!$F$15-参数底稿!$E$15))))</f>
        <v>1.32471096104432</v>
      </c>
      <c r="H92" s="3">
        <f t="shared" si="4"/>
        <v>1.96655894367239</v>
      </c>
    </row>
    <row r="93" spans="1:8">
      <c r="A93" t="s">
        <v>33</v>
      </c>
      <c r="B93" t="s">
        <v>28</v>
      </c>
      <c r="C93" s="1">
        <v>0.112749004334508</v>
      </c>
      <c r="D93" s="1">
        <v>0.0990281294468113</v>
      </c>
      <c r="E93" s="1">
        <v>0.138555327302895</v>
      </c>
      <c r="F93" s="3">
        <f>IF(ISBLANK(C93),0,IF(C93&gt;=参数底稿!$F$14,10,IF(C93&lt;=参数底稿!$E$14,1,1+9*(C93-参数底稿!$E$14)/(参数底稿!$F$14-参数底稿!$E$14))))</f>
        <v>10</v>
      </c>
      <c r="G93" s="3">
        <f>IF(ISBLANK(E93),0,IF(E93&gt;=参数底稿!$F$15,10,IF(E93&lt;=参数底稿!$E$15,1,1+9*(E93-参数底稿!$E$15)/(参数底稿!$F$15-参数底稿!$E$15))))</f>
        <v>1.23229138899274</v>
      </c>
      <c r="H93" s="3">
        <f t="shared" si="4"/>
        <v>7.36968741669782</v>
      </c>
    </row>
    <row r="94" spans="1:8">
      <c r="A94" t="s">
        <v>33</v>
      </c>
      <c r="B94" t="s">
        <v>12</v>
      </c>
      <c r="C94" s="1">
        <v>0.00459729819719397</v>
      </c>
      <c r="D94" s="1">
        <v>0.00457668016008576</v>
      </c>
      <c r="E94" s="1">
        <v>0.00450502031756971</v>
      </c>
      <c r="F94" s="3">
        <f>IF(ISBLANK(C94),0,IF(C94&gt;=参数底稿!$F$14,10,IF(C94&lt;=参数底稿!$E$14,1,1+9*(C94-参数底稿!$E$14)/(参数底稿!$F$14-参数底稿!$E$14))))</f>
        <v>1.08558183493577</v>
      </c>
      <c r="G94" s="3">
        <f>IF(ISBLANK(E94),0,IF(E94&gt;=参数底稿!$F$15,10,IF(E94&lt;=参数底稿!$E$15,1,1+9*(E94-参数底稿!$E$15)/(参数底稿!$F$15-参数底稿!$E$15))))</f>
        <v>1.00502845896479</v>
      </c>
      <c r="H94" s="3">
        <f t="shared" si="4"/>
        <v>1.06141582214447</v>
      </c>
    </row>
    <row r="95" spans="1:8">
      <c r="A95" t="s">
        <v>33</v>
      </c>
      <c r="B95" t="s">
        <v>21</v>
      </c>
      <c r="C95" s="1">
        <v>0.931992506780245</v>
      </c>
      <c r="D95" s="1">
        <v>0.956038177791233</v>
      </c>
      <c r="E95" s="1">
        <v>-0.0251513711163096</v>
      </c>
      <c r="F95" s="3">
        <f>IF(ISBLANK(C95),0,IF(C95&gt;=参数底稿!$F$14,10,IF(C95&lt;=参数底稿!$E$14,1,1+9*(C95-参数底稿!$E$14)/(参数底稿!$F$14-参数底稿!$E$14))))</f>
        <v>10</v>
      </c>
      <c r="G95" s="3">
        <f>IF(ISBLANK(E95),0,IF(E95&gt;=参数底稿!$F$15,10,IF(E95&lt;=参数底稿!$E$15,1,1+9*(E95-参数底稿!$E$15)/(参数底稿!$F$15-参数底稿!$E$15))))</f>
        <v>1</v>
      </c>
      <c r="H95" s="3">
        <f t="shared" si="4"/>
        <v>7.3</v>
      </c>
    </row>
    <row r="96" spans="1:8">
      <c r="A96" t="s">
        <v>33</v>
      </c>
      <c r="B96" t="s">
        <v>16</v>
      </c>
      <c r="C96" s="1"/>
      <c r="D96" s="1"/>
      <c r="E96" s="1"/>
      <c r="F96" s="3">
        <f>IF(ISBLANK(C96),0,IF(C96&gt;=参数底稿!$F$14,10,IF(C96&lt;=参数底稿!$E$14,1,1+9*(C96-参数底稿!$E$14)/(参数底稿!$F$14-参数底稿!$E$14))))</f>
        <v>0</v>
      </c>
      <c r="G96" s="3">
        <f>IF(ISBLANK(E96),0,IF(E96&gt;=参数底稿!$F$15,10,IF(E96&lt;=参数底稿!$E$15,1,1+9*(E96-参数底稿!$E$15)/(参数底稿!$F$15-参数底稿!$E$15))))</f>
        <v>0</v>
      </c>
      <c r="H96" s="3">
        <f t="shared" si="4"/>
        <v>0</v>
      </c>
    </row>
    <row r="97" spans="1:8">
      <c r="A97" t="s">
        <v>33</v>
      </c>
      <c r="B97" t="s">
        <v>14</v>
      </c>
      <c r="C97" s="1">
        <v>0.00439416121704618</v>
      </c>
      <c r="D97" s="1"/>
      <c r="E97" s="1"/>
      <c r="F97" s="3">
        <f>IF(ISBLANK(C97),0,IF(C97&gt;=参数底稿!$F$14,10,IF(C97&lt;=参数底稿!$E$14,1,1+9*(C97-参数底稿!$E$14)/(参数底稿!$F$14-参数底稿!$E$14))))</f>
        <v>1.06832295811777</v>
      </c>
      <c r="G97" s="3">
        <f>IF(ISBLANK(E97),0,IF(E97&gt;=参数底稿!$F$15,10,IF(E97&lt;=参数底稿!$E$15,1,1+9*(E97-参数底稿!$E$15)/(参数底稿!$F$15-参数底稿!$E$15))))</f>
        <v>0</v>
      </c>
      <c r="H97" s="3">
        <f t="shared" si="4"/>
        <v>0.747826070682441</v>
      </c>
    </row>
    <row r="98" spans="1:8">
      <c r="A98" t="s">
        <v>33</v>
      </c>
      <c r="B98" t="s">
        <v>22</v>
      </c>
      <c r="C98" s="1"/>
      <c r="D98" s="1"/>
      <c r="E98" s="1"/>
      <c r="F98" s="3">
        <f>IF(ISBLANK(C98),0,IF(C98&gt;=参数底稿!$F$14,10,IF(C98&lt;=参数底稿!$E$14,1,1+9*(C98-参数底稿!$E$14)/(参数底稿!$F$14-参数底稿!$E$14))))</f>
        <v>0</v>
      </c>
      <c r="G98" s="3">
        <f>IF(ISBLANK(E98),0,IF(E98&gt;=参数底稿!$F$15,10,IF(E98&lt;=参数底稿!$E$15,1,1+9*(E98-参数底稿!$E$15)/(参数底稿!$F$15-参数底稿!$E$15))))</f>
        <v>0</v>
      </c>
      <c r="H98" s="3">
        <f t="shared" si="4"/>
        <v>0</v>
      </c>
    </row>
    <row r="99" spans="1:8">
      <c r="A99" t="s">
        <v>33</v>
      </c>
      <c r="B99" t="s">
        <v>18</v>
      </c>
      <c r="C99" s="1"/>
      <c r="D99" s="1"/>
      <c r="E99" s="1"/>
      <c r="F99" s="3">
        <f>IF(ISBLANK(C99),0,IF(C99&gt;=参数底稿!$F$14,10,IF(C99&lt;=参数底稿!$E$14,1,1+9*(C99-参数底稿!$E$14)/(参数底稿!$F$14-参数底稿!$E$14))))</f>
        <v>0</v>
      </c>
      <c r="G99" s="3">
        <f>IF(ISBLANK(E99),0,IF(E99&gt;=参数底稿!$F$15,10,IF(E99&lt;=参数底稿!$E$15,1,1+9*(E99-参数底稿!$E$15)/(参数底稿!$F$15-参数底稿!$E$15))))</f>
        <v>0</v>
      </c>
      <c r="H99" s="3">
        <f t="shared" si="4"/>
        <v>0</v>
      </c>
    </row>
    <row r="100" spans="1:8">
      <c r="A100" t="s">
        <v>33</v>
      </c>
      <c r="B100" t="s">
        <v>24</v>
      </c>
      <c r="C100" s="1"/>
      <c r="D100" s="1"/>
      <c r="E100" s="1"/>
      <c r="F100" s="3">
        <f>IF(ISBLANK(C100),0,IF(C100&gt;=参数底稿!$F$14,10,IF(C100&lt;=参数底稿!$E$14,1,1+9*(C100-参数底稿!$E$14)/(参数底稿!$F$14-参数底稿!$E$14))))</f>
        <v>0</v>
      </c>
      <c r="G100" s="3">
        <f>IF(ISBLANK(E100),0,IF(E100&gt;=参数底稿!$F$15,10,IF(E100&lt;=参数底稿!$E$15,1,1+9*(E100-参数底稿!$E$15)/(参数底稿!$F$15-参数底稿!$E$15))))</f>
        <v>0</v>
      </c>
      <c r="H100" s="3">
        <f t="shared" si="4"/>
        <v>0</v>
      </c>
    </row>
    <row r="101" spans="1:8">
      <c r="A101" t="s">
        <v>33</v>
      </c>
      <c r="B101" t="s">
        <v>23</v>
      </c>
      <c r="C101" s="1"/>
      <c r="D101" s="1"/>
      <c r="E101" s="1"/>
      <c r="F101" s="3">
        <f>IF(ISBLANK(C101),0,IF(C101&gt;=参数底稿!$F$14,10,IF(C101&lt;=参数底稿!$E$14,1,1+9*(C101-参数底稿!$E$14)/(参数底稿!$F$14-参数底稿!$E$14))))</f>
        <v>0</v>
      </c>
      <c r="G101" s="3">
        <f>IF(ISBLANK(E101),0,IF(E101&gt;=参数底稿!$F$15,10,IF(E101&lt;=参数底稿!$E$15,1,1+9*(E101-参数底稿!$E$15)/(参数底稿!$F$15-参数底稿!$E$15))))</f>
        <v>0</v>
      </c>
      <c r="H101" s="3">
        <f t="shared" si="4"/>
        <v>0</v>
      </c>
    </row>
    <row r="102" spans="1:8">
      <c r="A102" t="s">
        <v>33</v>
      </c>
      <c r="B102" t="s">
        <v>10</v>
      </c>
      <c r="C102" s="1"/>
      <c r="D102" s="1"/>
      <c r="E102" s="1"/>
      <c r="F102" s="3">
        <f>IF(ISBLANK(C102),0,IF(C102&gt;=参数底稿!$F$14,10,IF(C102&lt;=参数底稿!$E$14,1,1+9*(C102-参数底稿!$E$14)/(参数底稿!$F$14-参数底稿!$E$14))))</f>
        <v>0</v>
      </c>
      <c r="G102" s="3">
        <f>IF(ISBLANK(E102),0,IF(E102&gt;=参数底稿!$F$15,10,IF(E102&lt;=参数底稿!$E$15,1,1+9*(E102-参数底稿!$E$15)/(参数底稿!$F$15-参数底稿!$E$15))))</f>
        <v>0</v>
      </c>
      <c r="H102" s="3">
        <f t="shared" si="4"/>
        <v>0</v>
      </c>
    </row>
    <row r="103" spans="1:8">
      <c r="A103" t="s">
        <v>33</v>
      </c>
      <c r="B103" t="s">
        <v>15</v>
      </c>
      <c r="C103" s="1"/>
      <c r="D103" s="1"/>
      <c r="E103" s="1"/>
      <c r="F103" s="3">
        <f>IF(ISBLANK(C103),0,IF(C103&gt;=参数底稿!$F$14,10,IF(C103&lt;=参数底稿!$E$14,1,1+9*(C103-参数底稿!$E$14)/(参数底稿!$F$14-参数底稿!$E$14))))</f>
        <v>0</v>
      </c>
      <c r="G103" s="3">
        <f>IF(ISBLANK(E103),0,IF(E103&gt;=参数底稿!$F$15,10,IF(E103&lt;=参数底稿!$E$15,1,1+9*(E103-参数底稿!$E$15)/(参数底稿!$F$15-参数底稿!$E$15))))</f>
        <v>0</v>
      </c>
      <c r="H103" s="3">
        <f t="shared" si="4"/>
        <v>0</v>
      </c>
    </row>
    <row r="104" spans="1:8">
      <c r="A104" t="s">
        <v>33</v>
      </c>
      <c r="B104" t="s">
        <v>26</v>
      </c>
      <c r="C104" s="1"/>
      <c r="D104" s="1"/>
      <c r="E104" s="1"/>
      <c r="F104" s="3">
        <f>IF(ISBLANK(C104),0,IF(C104&gt;=参数底稿!$F$14,10,IF(C104&lt;=参数底稿!$E$14,1,1+9*(C104-参数底稿!$E$14)/(参数底稿!$F$14-参数底稿!$E$14))))</f>
        <v>0</v>
      </c>
      <c r="G104" s="3">
        <f>IF(ISBLANK(E104),0,IF(E104&gt;=参数底稿!$F$15,10,IF(E104&lt;=参数底稿!$E$15,1,1+9*(E104-参数底稿!$E$15)/(参数底稿!$F$15-参数底稿!$E$15))))</f>
        <v>0</v>
      </c>
      <c r="H104" s="3">
        <f t="shared" si="4"/>
        <v>0</v>
      </c>
    </row>
    <row r="105" spans="1:8">
      <c r="A105" t="s">
        <v>33</v>
      </c>
      <c r="B105" t="s">
        <v>27</v>
      </c>
      <c r="C105" s="1">
        <v>0.0623351071134369</v>
      </c>
      <c r="D105" s="1"/>
      <c r="E105" s="1"/>
      <c r="F105" s="3">
        <f>IF(ISBLANK(C105),0,IF(C105&gt;=参数底稿!$F$14,10,IF(C105&lt;=参数底稿!$E$14,1,1+9*(C105-参数底稿!$E$14)/(参数底稿!$F$14-参数底稿!$E$14))))</f>
        <v>5.99108811499039</v>
      </c>
      <c r="G105" s="3">
        <f>IF(ISBLANK(E105),0,IF(E105&gt;=参数底稿!$F$15,10,IF(E105&lt;=参数底稿!$E$15,1,1+9*(E105-参数底稿!$E$15)/(参数底稿!$F$15-参数底稿!$E$15))))</f>
        <v>0</v>
      </c>
      <c r="H105" s="3">
        <f t="shared" si="4"/>
        <v>4.19376168049327</v>
      </c>
    </row>
    <row r="106" spans="3:5">
      <c r="C106" s="1"/>
      <c r="D106" s="1"/>
      <c r="E106" s="1"/>
    </row>
    <row r="107" spans="1:8">
      <c r="A107" t="s">
        <v>34</v>
      </c>
      <c r="B107" t="s">
        <v>16</v>
      </c>
      <c r="C107" s="1">
        <v>0.00154162384378212</v>
      </c>
      <c r="D107" s="1">
        <v>0.000813876595961137</v>
      </c>
      <c r="E107" s="1">
        <v>0.89417394655704</v>
      </c>
      <c r="F107" s="3">
        <f>IF(ISBLANK(C107),0,IF(C107&gt;=参数底稿!$F$17,10,IF(C107&lt;=参数底稿!$E$17,1,1+9*(C107-参数底稿!$E$17)/(参数底稿!$F$17-参数底稿!$E$17))))</f>
        <v>1</v>
      </c>
      <c r="G107" s="3">
        <f>IF(ISBLANK(E107),0,IF(E107&gt;=参数底稿!$F$18,10,IF(E107&lt;=参数底稿!$E$18,1,1+9*(E107-参数底稿!$E$18)/(参数底稿!$F$18-参数底稿!$E$18))))</f>
        <v>10</v>
      </c>
      <c r="H107" s="3">
        <f t="shared" ref="H106:H126" si="5">0.7*F107+0.3*G107</f>
        <v>3.7</v>
      </c>
    </row>
    <row r="108" spans="1:8">
      <c r="A108" t="s">
        <v>34</v>
      </c>
      <c r="B108" t="s">
        <v>24</v>
      </c>
      <c r="C108" s="1">
        <v>0.00912041592621422</v>
      </c>
      <c r="D108" s="1">
        <v>0.00598030184935875</v>
      </c>
      <c r="E108" s="1">
        <v>0.525076184439115</v>
      </c>
      <c r="F108" s="3">
        <f>IF(ISBLANK(C108),0,IF(C108&gt;=参数底稿!$F$17,10,IF(C108&lt;=参数底稿!$E$17,1,1+9*(C108-参数底稿!$E$17)/(参数底稿!$F$17-参数底稿!$E$17))))</f>
        <v>2.77721777902352</v>
      </c>
      <c r="G108" s="3">
        <f>IF(ISBLANK(E108),0,IF(E108&gt;=参数底稿!$F$18,10,IF(E108&lt;=参数底稿!$E$18,1,1+9*(E108-参数底稿!$E$18)/(参数底稿!$F$18-参数底稿!$E$18))))</f>
        <v>10</v>
      </c>
      <c r="H108" s="3">
        <f t="shared" si="5"/>
        <v>4.94405244531646</v>
      </c>
    </row>
    <row r="109" spans="1:8">
      <c r="A109" t="s">
        <v>34</v>
      </c>
      <c r="B109" t="s">
        <v>12</v>
      </c>
      <c r="C109" s="1">
        <v>0.0110680520826069</v>
      </c>
      <c r="D109" s="1">
        <v>0.00855914711507508</v>
      </c>
      <c r="E109" s="1">
        <v>0.293125580598205</v>
      </c>
      <c r="F109" s="3">
        <f>IF(ISBLANK(C109),0,IF(C109&gt;=参数底稿!$F$17,10,IF(C109&lt;=参数底稿!$E$17,1,1+9*(C109-参数底稿!$E$17)/(参数底稿!$F$17-参数底稿!$E$17))))</f>
        <v>3.24143190528236</v>
      </c>
      <c r="G109" s="3">
        <f>IF(ISBLANK(E109),0,IF(E109&gt;=参数底稿!$F$18,10,IF(E109&lt;=参数底稿!$E$18,1,1+9*(E109-参数底稿!$E$18)/(参数底稿!$F$18-参数底稿!$E$18))))</f>
        <v>9.43064442991519</v>
      </c>
      <c r="H109" s="3">
        <f t="shared" si="5"/>
        <v>5.09819566267221</v>
      </c>
    </row>
    <row r="110" spans="1:8">
      <c r="A110" t="s">
        <v>34</v>
      </c>
      <c r="B110" t="s">
        <v>19</v>
      </c>
      <c r="C110" s="1">
        <v>0.0128456607023251</v>
      </c>
      <c r="D110" s="1">
        <v>0.010036124425453</v>
      </c>
      <c r="E110" s="1">
        <v>0.279942352024534</v>
      </c>
      <c r="F110" s="3">
        <f>IF(ISBLANK(C110),0,IF(C110&gt;=参数底稿!$F$17,10,IF(C110&lt;=参数底稿!$E$17,1,1+9*(C110-参数底稿!$E$17)/(参数底稿!$F$17-参数底稿!$E$17))))</f>
        <v>3.66512040044825</v>
      </c>
      <c r="G110" s="3">
        <f>IF(ISBLANK(E110),0,IF(E110&gt;=参数底稿!$F$18,10,IF(E110&lt;=参数底稿!$E$18,1,1+9*(E110-参数底稿!$E$18)/(参数底稿!$F$18-参数底稿!$E$18))))</f>
        <v>9.10704844356541</v>
      </c>
      <c r="H110" s="3">
        <f t="shared" si="5"/>
        <v>5.2976988133834</v>
      </c>
    </row>
    <row r="111" spans="1:8">
      <c r="A111" t="s">
        <v>34</v>
      </c>
      <c r="B111" t="s">
        <v>27</v>
      </c>
      <c r="C111" s="1">
        <v>0.0375488778188441</v>
      </c>
      <c r="D111" s="1">
        <v>0.0304296721953768</v>
      </c>
      <c r="E111" s="1">
        <v>0.23395604059609</v>
      </c>
      <c r="F111" s="3">
        <f>IF(ISBLANK(C111),0,IF(C111&gt;=参数底稿!$F$17,10,IF(C111&lt;=参数底稿!$E$17,1,1+9*(C111-参数底稿!$E$17)/(参数底稿!$F$17-参数底稿!$E$17))))</f>
        <v>9.55306939538127</v>
      </c>
      <c r="G111" s="3">
        <f>IF(ISBLANK(E111),0,IF(E111&gt;=参数底稿!$F$18,10,IF(E111&lt;=参数底稿!$E$18,1,1+9*(E111-参数底稿!$E$18)/(参数底稿!$F$18-参数底稿!$E$18))))</f>
        <v>7.97826684639312</v>
      </c>
      <c r="H111" s="3">
        <f t="shared" si="5"/>
        <v>9.08062863068483</v>
      </c>
    </row>
    <row r="112" spans="1:8">
      <c r="A112" t="s">
        <v>34</v>
      </c>
      <c r="B112" t="s">
        <v>22</v>
      </c>
      <c r="C112" s="1">
        <v>0.0143345286179577</v>
      </c>
      <c r="D112" s="1">
        <v>0.0117343473151166</v>
      </c>
      <c r="E112" s="1">
        <v>0.22158721171406</v>
      </c>
      <c r="F112" s="3">
        <f>IF(ISBLANK(C112),0,IF(C112&gt;=参数底稿!$F$17,10,IF(C112&lt;=参数底稿!$E$17,1,1+9*(C112-参数底稿!$E$17)/(参数底稿!$F$17-参数底稿!$E$17))))</f>
        <v>4.01998828288187</v>
      </c>
      <c r="G112" s="3">
        <f>IF(ISBLANK(E112),0,IF(E112&gt;=参数底稿!$F$18,10,IF(E112&lt;=参数底稿!$E$18,1,1+9*(E112-参数底稿!$E$18)/(参数底稿!$F$18-参数底稿!$E$18))))</f>
        <v>7.67466114315395</v>
      </c>
      <c r="H112" s="3">
        <f t="shared" si="5"/>
        <v>5.11639014096349</v>
      </c>
    </row>
    <row r="113" spans="1:8">
      <c r="A113" t="s">
        <v>34</v>
      </c>
      <c r="B113" t="s">
        <v>26</v>
      </c>
      <c r="C113" s="1">
        <v>0.00167752506534545</v>
      </c>
      <c r="D113" s="1">
        <v>0.00140102049641097</v>
      </c>
      <c r="E113" s="1">
        <v>0.197359403122807</v>
      </c>
      <c r="F113" s="3">
        <f>IF(ISBLANK(C113),0,IF(C113&gt;=参数底稿!$F$17,10,IF(C113&lt;=参数底稿!$E$17,1,1+9*(C113-参数底稿!$E$17)/(参数底稿!$F$17-参数底稿!$E$17))))</f>
        <v>1.00322366493933</v>
      </c>
      <c r="G113" s="3">
        <f>IF(ISBLANK(E113),0,IF(E113&gt;=参数底稿!$F$18,10,IF(E113&lt;=参数底稿!$E$18,1,1+9*(E113-参数底稿!$E$18)/(参数底稿!$F$18-参数底稿!$E$18))))</f>
        <v>7.07996451217555</v>
      </c>
      <c r="H113" s="3">
        <f t="shared" si="5"/>
        <v>2.82624591911019</v>
      </c>
    </row>
    <row r="114" spans="1:8">
      <c r="A114" t="s">
        <v>34</v>
      </c>
      <c r="B114" t="s">
        <v>21</v>
      </c>
      <c r="C114" s="1">
        <v>0.0394104609211953</v>
      </c>
      <c r="D114" s="1">
        <v>0.033111395999614</v>
      </c>
      <c r="E114" s="1">
        <v>0.190238578936831</v>
      </c>
      <c r="F114" s="3">
        <f>IF(ISBLANK(C114),0,IF(C114&gt;=参数底稿!$F$17,10,IF(C114&lt;=参数底稿!$E$17,1,1+9*(C114-参数底稿!$E$17)/(参数底稿!$F$17-参数底稿!$E$17))))</f>
        <v>9.99677299498829</v>
      </c>
      <c r="G114" s="3">
        <f>IF(ISBLANK(E114),0,IF(E114&gt;=参数底稿!$F$18,10,IF(E114&lt;=参数底稿!$E$18,1,1+9*(E114-参数底稿!$E$18)/(参数底稿!$F$18-参数底稿!$E$18))))</f>
        <v>6.90517651443983</v>
      </c>
      <c r="H114" s="3">
        <f t="shared" si="5"/>
        <v>9.06929405082375</v>
      </c>
    </row>
    <row r="115" spans="1:8">
      <c r="A115" t="s">
        <v>34</v>
      </c>
      <c r="B115" t="s">
        <v>13</v>
      </c>
      <c r="C115" s="1">
        <v>0.0117317984825342</v>
      </c>
      <c r="D115" s="1">
        <v>0.00991393808645627</v>
      </c>
      <c r="E115" s="1">
        <v>0.18336410619322</v>
      </c>
      <c r="F115" s="3">
        <f>IF(ISBLANK(C115),0,IF(C115&gt;=参数底稿!$F$17,10,IF(C115&lt;=参数底稿!$E$17,1,1+9*(C115-参数底稿!$E$17)/(参数底稿!$F$17-参数底稿!$E$17))))</f>
        <v>3.39963417221419</v>
      </c>
      <c r="G115" s="3">
        <f>IF(ISBLANK(E115),0,IF(E115&gt;=参数底稿!$F$18,10,IF(E115&lt;=参数底稿!$E$18,1,1+9*(E115-参数底稿!$E$18)/(参数底稿!$F$18-参数底稿!$E$18))))</f>
        <v>6.73643546776282</v>
      </c>
      <c r="H115" s="3">
        <f t="shared" si="5"/>
        <v>4.40067456087878</v>
      </c>
    </row>
    <row r="116" spans="1:8">
      <c r="A116" t="s">
        <v>34</v>
      </c>
      <c r="B116" t="s">
        <v>28</v>
      </c>
      <c r="C116" s="1">
        <v>0.000552577775321877</v>
      </c>
      <c r="D116" s="1">
        <v>0.000477338713645982</v>
      </c>
      <c r="E116" s="1">
        <v>0.157621955908851</v>
      </c>
      <c r="F116" s="3">
        <f>IF(ISBLANK(C116),0,IF(C116&gt;=参数底稿!$F$17,10,IF(C116&lt;=参数底稿!$E$17,1,1+9*(C116-参数底稿!$E$17)/(参数底稿!$F$17-参数底稿!$E$17))))</f>
        <v>1</v>
      </c>
      <c r="G116" s="3">
        <f>IF(ISBLANK(E116),0,IF(E116&gt;=参数底稿!$F$18,10,IF(E116&lt;=参数底稿!$E$18,1,1+9*(E116-参数底稿!$E$18)/(参数底稿!$F$18-参数底稿!$E$18))))</f>
        <v>6.1045677530005</v>
      </c>
      <c r="H116" s="3">
        <f t="shared" si="5"/>
        <v>2.53137032590015</v>
      </c>
    </row>
    <row r="117" spans="1:8">
      <c r="A117" t="s">
        <v>34</v>
      </c>
      <c r="B117" t="s">
        <v>17</v>
      </c>
      <c r="C117" s="1">
        <v>0.00492101448606328</v>
      </c>
      <c r="D117" s="1">
        <v>0.00431606613865912</v>
      </c>
      <c r="E117" s="1">
        <v>0.140161973419643</v>
      </c>
      <c r="F117" s="3">
        <f>IF(ISBLANK(C117),0,IF(C117&gt;=参数底稿!$F$17,10,IF(C117&lt;=参数底稿!$E$17,1,1+9*(C117-参数底稿!$E$17)/(参数底稿!$F$17-参数底稿!$E$17))))</f>
        <v>1.77630112220788</v>
      </c>
      <c r="G117" s="3">
        <f>IF(ISBLANK(E117),0,IF(E117&gt;=参数底稿!$F$18,10,IF(E117&lt;=参数底稿!$E$18,1,1+9*(E117-参数底稿!$E$18)/(参数底稿!$F$18-参数底稿!$E$18))))</f>
        <v>5.67599441653199</v>
      </c>
      <c r="H117" s="3">
        <f t="shared" si="5"/>
        <v>2.94620911050511</v>
      </c>
    </row>
    <row r="118" spans="1:8">
      <c r="A118" t="s">
        <v>34</v>
      </c>
      <c r="B118" t="s">
        <v>20</v>
      </c>
      <c r="C118" s="1">
        <v>0.0134813058410844</v>
      </c>
      <c r="D118" s="1">
        <v>0.0124421354787847</v>
      </c>
      <c r="E118" s="1">
        <v>0.083520257762149</v>
      </c>
      <c r="F118" s="3">
        <f>IF(ISBLANK(C118),0,IF(C118&gt;=参数底稿!$F$17,10,IF(C118&lt;=参数底稿!$E$17,1,1+9*(C118-参数底稿!$E$17)/(参数底稿!$F$17-参数底稿!$E$17))))</f>
        <v>3.81662480322457</v>
      </c>
      <c r="G118" s="3">
        <f>IF(ISBLANK(E118),0,IF(E118&gt;=参数底稿!$F$18,10,IF(E118&lt;=参数底稿!$E$18,1,1+9*(E118-参数底稿!$E$18)/(参数底稿!$F$18-参数底稿!$E$18))))</f>
        <v>4.28566489715032</v>
      </c>
      <c r="H118" s="3">
        <f t="shared" si="5"/>
        <v>3.95733683140229</v>
      </c>
    </row>
    <row r="119" spans="1:8">
      <c r="A119" t="s">
        <v>34</v>
      </c>
      <c r="B119" t="s">
        <v>10</v>
      </c>
      <c r="C119" s="1">
        <v>0.0173957679803799</v>
      </c>
      <c r="D119" s="1">
        <v>0.0161049394338794</v>
      </c>
      <c r="E119" s="1">
        <v>0.0801510959913958</v>
      </c>
      <c r="F119" s="3">
        <f>IF(ISBLANK(C119),0,IF(C119&gt;=参数底稿!$F$17,10,IF(C119&lt;=参数底稿!$E$17,1,1+9*(C119-参数底稿!$E$17)/(参数底稿!$F$17-参数底稿!$E$17))))</f>
        <v>4.74962690210326</v>
      </c>
      <c r="G119" s="3">
        <f>IF(ISBLANK(E119),0,IF(E119&gt;=参数底稿!$F$18,10,IF(E119&lt;=参数底稿!$E$18,1,1+9*(E119-参数底稿!$E$18)/(参数底稿!$F$18-参数底稿!$E$18))))</f>
        <v>4.2029653353331</v>
      </c>
      <c r="H119" s="3">
        <f t="shared" si="5"/>
        <v>4.58562843207221</v>
      </c>
    </row>
    <row r="120" spans="1:8">
      <c r="A120" t="s">
        <v>34</v>
      </c>
      <c r="B120" t="s">
        <v>9</v>
      </c>
      <c r="C120" s="1">
        <v>0.0421416994038625</v>
      </c>
      <c r="D120" s="1">
        <v>0.0390461238916321</v>
      </c>
      <c r="E120" s="1">
        <v>0.0792799695258317</v>
      </c>
      <c r="F120" s="3">
        <f>IF(ISBLANK(C120),0,IF(C120&gt;=参数底稿!$F$17,10,IF(C120&lt;=参数底稿!$E$17,1,1+9*(C120-参数底稿!$E$17)/(参数底稿!$F$17-参数底稿!$E$17))))</f>
        <v>10</v>
      </c>
      <c r="G120" s="3">
        <f>IF(ISBLANK(E120),0,IF(E120&gt;=参数底稿!$F$18,10,IF(E120&lt;=参数底稿!$E$18,1,1+9*(E120-参数底稿!$E$18)/(参数底稿!$F$18-参数底稿!$E$18))))</f>
        <v>4.18158263485997</v>
      </c>
      <c r="H120" s="3">
        <f t="shared" si="5"/>
        <v>8.25447479045799</v>
      </c>
    </row>
    <row r="121" spans="1:8">
      <c r="A121" t="s">
        <v>34</v>
      </c>
      <c r="B121" t="s">
        <v>25</v>
      </c>
      <c r="C121" s="1">
        <v>0.00445285963026042</v>
      </c>
      <c r="D121" s="1">
        <v>0.00433472537928847</v>
      </c>
      <c r="E121" s="1">
        <v>0.0272529954345889</v>
      </c>
      <c r="F121" s="3">
        <f>IF(ISBLANK(C121),0,IF(C121&gt;=参数底稿!$F$17,10,IF(C121&lt;=参数底稿!$E$17,1,1+9*(C121-参数底稿!$E$17)/(参数底稿!$F$17-参数底稿!$E$17))))</f>
        <v>1.66471760255148</v>
      </c>
      <c r="G121" s="3">
        <f>IF(ISBLANK(E121),0,IF(E121&gt;=参数底稿!$F$18,10,IF(E121&lt;=参数底稿!$E$18,1,1+9*(E121-参数底稿!$E$18)/(参数底稿!$F$18-参数底稿!$E$18))))</f>
        <v>2.90452672220789</v>
      </c>
      <c r="H121" s="3">
        <f t="shared" si="5"/>
        <v>2.0366603384484</v>
      </c>
    </row>
    <row r="122" spans="1:8">
      <c r="A122" t="s">
        <v>34</v>
      </c>
      <c r="B122" t="s">
        <v>15</v>
      </c>
      <c r="C122" s="1">
        <v>0.019919168591224</v>
      </c>
      <c r="D122" s="1">
        <v>0.0197108730199416</v>
      </c>
      <c r="E122" s="1">
        <v>0.0105675467074301</v>
      </c>
      <c r="F122" s="3">
        <f>IF(ISBLANK(C122),0,IF(C122&gt;=参数底稿!$F$17,10,IF(C122&lt;=参数底稿!$E$17,1,1+9*(C122-参数底稿!$E$17)/(参数底稿!$F$17-参数底稿!$E$17))))</f>
        <v>5.35107302227267</v>
      </c>
      <c r="G122" s="3">
        <f>IF(ISBLANK(E122),0,IF(E122&gt;=参数底稿!$F$18,10,IF(E122&lt;=参数底稿!$E$18,1,1+9*(E122-参数底稿!$E$18)/(参数底稿!$F$18-参数底稿!$E$18))))</f>
        <v>2.4949651183579</v>
      </c>
      <c r="H122" s="3">
        <f t="shared" si="5"/>
        <v>4.49424065109824</v>
      </c>
    </row>
    <row r="123" spans="1:8">
      <c r="A123" t="s">
        <v>34</v>
      </c>
      <c r="B123" t="s">
        <v>18</v>
      </c>
      <c r="C123" s="1">
        <v>0.0224255122177017</v>
      </c>
      <c r="D123" s="1">
        <v>0.0230560928433269</v>
      </c>
      <c r="E123" s="1">
        <v>-0.0273498476047183</v>
      </c>
      <c r="F123" s="3">
        <f>IF(ISBLANK(C123),0,IF(C123&gt;=参数底稿!$F$17,10,IF(C123&lt;=参数底稿!$E$17,1,1+9*(C123-参数底稿!$E$17)/(参数底稿!$F$17-参数底稿!$E$17))))</f>
        <v>5.94845365358356</v>
      </c>
      <c r="G123" s="3">
        <f>IF(ISBLANK(E123),0,IF(E123&gt;=参数底稿!$F$18,10,IF(E123&lt;=参数底稿!$E$18,1,1+9*(E123-参数底稿!$E$18)/(参数底稿!$F$18-参数底稿!$E$18))))</f>
        <v>1.56424344091097</v>
      </c>
      <c r="H123" s="3">
        <f t="shared" si="5"/>
        <v>4.63319058978178</v>
      </c>
    </row>
    <row r="124" spans="1:8">
      <c r="A124" t="s">
        <v>34</v>
      </c>
      <c r="B124" t="s">
        <v>23</v>
      </c>
      <c r="C124" s="1">
        <v>0.0395479835504717</v>
      </c>
      <c r="D124" s="1">
        <v>0.0415164320676132</v>
      </c>
      <c r="E124" s="1">
        <v>-0.047413720763279</v>
      </c>
      <c r="F124" s="3">
        <f>IF(ISBLANK(C124),0,IF(C124&gt;=参数底稿!$F$17,10,IF(C124&lt;=参数底稿!$E$17,1,1+9*(C124-参数底稿!$E$17)/(参数底稿!$F$17-参数底稿!$E$17))))</f>
        <v>10</v>
      </c>
      <c r="G124" s="3">
        <f>IF(ISBLANK(E124),0,IF(E124&gt;=参数底稿!$F$18,10,IF(E124&lt;=参数底稿!$E$18,1,1+9*(E124-参数底稿!$E$18)/(参数底稿!$F$18-参数底稿!$E$18))))</f>
        <v>1.07175491365384</v>
      </c>
      <c r="H124" s="3">
        <f t="shared" si="5"/>
        <v>7.32152647409615</v>
      </c>
    </row>
    <row r="125" spans="1:8">
      <c r="A125" t="s">
        <v>34</v>
      </c>
      <c r="B125" t="s">
        <v>14</v>
      </c>
      <c r="C125" s="1">
        <v>0.0192653987518192</v>
      </c>
      <c r="D125" s="1">
        <v>0.0208645636446588</v>
      </c>
      <c r="E125" s="1">
        <v>-0.0766450197605231</v>
      </c>
      <c r="F125" s="3">
        <f>IF(ISBLANK(C125),0,IF(C125&gt;=参数底稿!$F$17,10,IF(C125&lt;=参数底稿!$E$17,1,1+9*(C125-参数底稿!$E$17)/(参数底稿!$F$17-参数底稿!$E$17))))</f>
        <v>5.19524864317725</v>
      </c>
      <c r="G125" s="3">
        <f>IF(ISBLANK(E125),0,IF(E125&gt;=参数底稿!$F$18,10,IF(E125&lt;=参数底稿!$E$18,1,1+9*(E125-参数底稿!$E$18)/(参数底稿!$F$18-参数底稿!$E$18))))</f>
        <v>1</v>
      </c>
      <c r="H125" s="3">
        <f t="shared" si="5"/>
        <v>3.93667405022407</v>
      </c>
    </row>
    <row r="126" spans="1:8">
      <c r="A126" t="s">
        <v>34</v>
      </c>
      <c r="B126" t="s">
        <v>11</v>
      </c>
      <c r="C126" s="1">
        <v>0.00801080673536064</v>
      </c>
      <c r="D126" s="1">
        <v>0.00942196428251563</v>
      </c>
      <c r="E126" s="1">
        <v>-0.149773179439204</v>
      </c>
      <c r="F126" s="3">
        <f>IF(ISBLANK(C126),0,IF(C126&gt;=参数底稿!$F$17,10,IF(C126&lt;=参数底稿!$E$17,1,1+9*(C126-参数底稿!$E$17)/(参数底稿!$F$17-参数底稿!$E$17))))</f>
        <v>2.51274524942388</v>
      </c>
      <c r="G126" s="3">
        <f>IF(ISBLANK(E126),0,IF(E126&gt;=参数底稿!$F$18,10,IF(E126&lt;=参数底稿!$E$18,1,1+9*(E126-参数底稿!$E$18)/(参数底稿!$F$18-参数底稿!$E$18))))</f>
        <v>1</v>
      </c>
      <c r="H126" s="3">
        <f t="shared" si="5"/>
        <v>2.05892167459672</v>
      </c>
    </row>
    <row r="127" spans="3:5">
      <c r="C127" s="1"/>
      <c r="D127" s="1"/>
      <c r="E127" s="1"/>
    </row>
    <row r="128" spans="1:8">
      <c r="A128" t="s">
        <v>35</v>
      </c>
      <c r="B128" t="s">
        <v>15</v>
      </c>
      <c r="C128" s="1">
        <v>0.0297344110854503</v>
      </c>
      <c r="D128" s="1">
        <v>0.00361408725073051</v>
      </c>
      <c r="E128" s="1">
        <v>7.22736392970042</v>
      </c>
      <c r="F128" s="3">
        <f>IF(ISBLANK(C128),0,IF(C128&gt;=参数底稿!$F$20,10,IF(C128&lt;=参数底稿!$E$20,1,1+9*(C128-参数底稿!$E$20)/(参数底稿!$F$20-参数底稿!$E$20))))</f>
        <v>10</v>
      </c>
      <c r="G128" s="3">
        <f>IF(ISBLANK(E128),0,IF(E128&gt;=参数底稿!$F$21,10,IF(E128&lt;=参数底稿!$E$21,1,1+9*(E128-参数底稿!$E$21)/(参数底稿!$F$21-参数底稿!$E$21))))</f>
        <v>10</v>
      </c>
      <c r="H128" s="3">
        <f t="shared" ref="H127:H147" si="6">0.7*F128+0.3*G128</f>
        <v>10</v>
      </c>
    </row>
    <row r="129" spans="1:8">
      <c r="A129" t="s">
        <v>35</v>
      </c>
      <c r="B129" t="s">
        <v>17</v>
      </c>
      <c r="C129" s="1">
        <v>0.00528108871675084</v>
      </c>
      <c r="D129" s="1">
        <v>0.00426332398625188</v>
      </c>
      <c r="E129" s="1">
        <v>0.238725636095448</v>
      </c>
      <c r="F129" s="3">
        <f>IF(ISBLANK(C129),0,IF(C129&gt;=参数底稿!$F$20,10,IF(C129&lt;=参数底稿!$E$20,1,1+9*(C129-参数底稿!$E$20)/(参数底稿!$F$20-参数底稿!$E$20))))</f>
        <v>3.00105897549943</v>
      </c>
      <c r="G129" s="3">
        <f>IF(ISBLANK(E129),0,IF(E129&gt;=参数底稿!$F$21,10,IF(E129&lt;=参数底稿!$E$21,1,1+9*(E129-参数底稿!$E$21)/(参数底稿!$F$21-参数底稿!$E$21))))</f>
        <v>2.74166415030082</v>
      </c>
      <c r="H129" s="3">
        <f t="shared" si="6"/>
        <v>2.92324052793985</v>
      </c>
    </row>
    <row r="130" spans="1:8">
      <c r="A130" t="s">
        <v>35</v>
      </c>
      <c r="B130" t="s">
        <v>13</v>
      </c>
      <c r="C130" s="1">
        <v>0.00586745147710763</v>
      </c>
      <c r="D130" s="1">
        <v>0.00690119118039366</v>
      </c>
      <c r="E130" s="1">
        <v>-0.149791489072625</v>
      </c>
      <c r="F130" s="3">
        <f>IF(ISBLANK(C130),0,IF(C130&gt;=参数底稿!$F$20,10,IF(C130&lt;=参数底稿!$E$20,1,1+9*(C130-参数底稿!$E$20)/(参数底稿!$F$20-参数底稿!$E$20))))</f>
        <v>3.40606778925316</v>
      </c>
      <c r="G130" s="3">
        <f>IF(ISBLANK(E130),0,IF(E130&gt;=参数底稿!$F$21,10,IF(E130&lt;=参数底稿!$E$21,1,1+9*(E130-参数底稿!$E$21)/(参数底稿!$F$21-参数底稿!$E$21))))</f>
        <v>2.06914698777836</v>
      </c>
      <c r="H130" s="3">
        <f t="shared" si="6"/>
        <v>3.00499154881072</v>
      </c>
    </row>
    <row r="131" spans="1:8">
      <c r="A131" t="s">
        <v>35</v>
      </c>
      <c r="B131" t="s">
        <v>9</v>
      </c>
      <c r="C131" s="1">
        <v>0.00210616924443468</v>
      </c>
      <c r="D131" s="1">
        <v>0.00473605276313597</v>
      </c>
      <c r="E131" s="1">
        <v>-0.555290164664449</v>
      </c>
      <c r="F131" s="3">
        <f>IF(ISBLANK(C131),0,IF(C131&gt;=参数底稿!$F$20,10,IF(C131&lt;=参数底稿!$E$20,1,1+9*(C131-参数底稿!$E$20)/(参数底稿!$F$20-参数底稿!$E$20))))</f>
        <v>1</v>
      </c>
      <c r="G131" s="3">
        <f>IF(ISBLANK(E131),0,IF(E131&gt;=参数底稿!$F$21,10,IF(E131&lt;=参数底稿!$E$21,1,1+9*(E131-参数底稿!$E$21)/(参数底稿!$F$21-参数底稿!$E$21))))</f>
        <v>1.36723502289996</v>
      </c>
      <c r="H131" s="3">
        <f t="shared" si="6"/>
        <v>1.11017050686999</v>
      </c>
    </row>
    <row r="132" spans="1:8">
      <c r="A132" t="s">
        <v>35</v>
      </c>
      <c r="B132" t="s">
        <v>25</v>
      </c>
      <c r="C132" s="1">
        <v>0.00256895747899639</v>
      </c>
      <c r="D132" s="1">
        <v>0.0281933358002502</v>
      </c>
      <c r="E132" s="1">
        <v>-0.908880683818422</v>
      </c>
      <c r="F132" s="3">
        <f>IF(ISBLANK(C132),0,IF(C132&gt;=参数底稿!$F$20,10,IF(C132&lt;=参数底稿!$E$20,1,1+9*(C132-参数底稿!$E$20)/(参数底稿!$F$20-参数底稿!$E$20))))</f>
        <v>1.1277526716015</v>
      </c>
      <c r="G132" s="3">
        <f>IF(ISBLANK(E132),0,IF(E132&gt;=参数底稿!$F$21,10,IF(E132&lt;=参数底稿!$E$21,1,1+9*(E132-参数底稿!$E$21)/(参数底稿!$F$21-参数底稿!$E$21))))</f>
        <v>1</v>
      </c>
      <c r="H132" s="3">
        <f t="shared" si="6"/>
        <v>1.08942687012105</v>
      </c>
    </row>
    <row r="133" spans="1:8">
      <c r="A133" t="s">
        <v>35</v>
      </c>
      <c r="B133" t="s">
        <v>22</v>
      </c>
      <c r="C133" s="1">
        <v>0.003124847256844</v>
      </c>
      <c r="D133" s="1"/>
      <c r="E133" s="1"/>
      <c r="F133" s="3">
        <f>IF(ISBLANK(C133),0,IF(C133&gt;=参数底稿!$F$20,10,IF(C133&lt;=参数底稿!$E$20,1,1+9*(C133-参数底稿!$E$20)/(参数底稿!$F$20-参数底稿!$E$20))))</f>
        <v>1.51171337771266</v>
      </c>
      <c r="G133" s="3">
        <f>IF(ISBLANK(E133),0,IF(E133&gt;=参数底稿!$F$21,10,IF(E133&lt;=参数底稿!$E$21,1,1+9*(E133-参数底稿!$E$21)/(参数底稿!$F$21-参数底稿!$E$21))))</f>
        <v>0</v>
      </c>
      <c r="H133" s="3">
        <f t="shared" si="6"/>
        <v>1.05819936439886</v>
      </c>
    </row>
    <row r="134" spans="1:8">
      <c r="A134" t="s">
        <v>35</v>
      </c>
      <c r="B134" t="s">
        <v>12</v>
      </c>
      <c r="C134" s="1">
        <v>0.00291893722790624</v>
      </c>
      <c r="D134" s="1"/>
      <c r="E134" s="1"/>
      <c r="F134" s="3">
        <f>IF(ISBLANK(C134),0,IF(C134&gt;=参数底稿!$F$20,10,IF(C134&lt;=参数底稿!$E$20,1,1+9*(C134-参数底稿!$E$20)/(参数底稿!$F$20-参数底稿!$E$20))))</f>
        <v>1.3694884920304</v>
      </c>
      <c r="G134" s="3">
        <f>IF(ISBLANK(E134),0,IF(E134&gt;=参数底稿!$F$21,10,IF(E134&lt;=参数底稿!$E$21,1,1+9*(E134-参数底稿!$E$21)/(参数底稿!$F$21-参数底稿!$E$21))))</f>
        <v>0</v>
      </c>
      <c r="H134" s="3">
        <f t="shared" si="6"/>
        <v>0.958641944421282</v>
      </c>
    </row>
    <row r="135" spans="1:8">
      <c r="A135" t="s">
        <v>35</v>
      </c>
      <c r="B135" t="s">
        <v>24</v>
      </c>
      <c r="C135" s="1"/>
      <c r="D135" s="1"/>
      <c r="E135" s="1"/>
      <c r="F135" s="3">
        <f>IF(ISBLANK(C135),0,IF(C135&gt;=参数底稿!$F$20,10,IF(C135&lt;=参数底稿!$E$20,1,1+9*(C135-参数底稿!$E$20)/(参数底稿!$F$20-参数底稿!$E$20))))</f>
        <v>0</v>
      </c>
      <c r="G135" s="3">
        <f>IF(ISBLANK(E135),0,IF(E135&gt;=参数底稿!$F$21,10,IF(E135&lt;=参数底稿!$E$21,1,1+9*(E135-参数底稿!$E$21)/(参数底稿!$F$21-参数底稿!$E$21))))</f>
        <v>0</v>
      </c>
      <c r="H135" s="3">
        <f t="shared" si="6"/>
        <v>0</v>
      </c>
    </row>
    <row r="136" spans="1:8">
      <c r="A136" t="s">
        <v>35</v>
      </c>
      <c r="B136" t="s">
        <v>20</v>
      </c>
      <c r="C136" s="1"/>
      <c r="D136" s="1"/>
      <c r="E136" s="1"/>
      <c r="F136" s="3">
        <f>IF(ISBLANK(C136),0,IF(C136&gt;=参数底稿!$F$20,10,IF(C136&lt;=参数底稿!$E$20,1,1+9*(C136-参数底稿!$E$20)/(参数底稿!$F$20-参数底稿!$E$20))))</f>
        <v>0</v>
      </c>
      <c r="G136" s="3">
        <f>IF(ISBLANK(E136),0,IF(E136&gt;=参数底稿!$F$21,10,IF(E136&lt;=参数底稿!$E$21,1,1+9*(E136-参数底稿!$E$21)/(参数底稿!$F$21-参数底稿!$E$21))))</f>
        <v>0</v>
      </c>
      <c r="H136" s="3">
        <f t="shared" si="6"/>
        <v>0</v>
      </c>
    </row>
    <row r="137" spans="1:8">
      <c r="A137" t="s">
        <v>35</v>
      </c>
      <c r="B137" t="s">
        <v>10</v>
      </c>
      <c r="C137" s="1"/>
      <c r="D137" s="1"/>
      <c r="E137" s="1"/>
      <c r="F137" s="3">
        <f>IF(ISBLANK(C137),0,IF(C137&gt;=参数底稿!$F$20,10,IF(C137&lt;=参数底稿!$E$20,1,1+9*(C137-参数底稿!$E$20)/(参数底稿!$F$20-参数底稿!$E$20))))</f>
        <v>0</v>
      </c>
      <c r="G137" s="3">
        <f>IF(ISBLANK(E137),0,IF(E137&gt;=参数底稿!$F$21,10,IF(E137&lt;=参数底稿!$E$21,1,1+9*(E137-参数底稿!$E$21)/(参数底稿!$F$21-参数底稿!$E$21))))</f>
        <v>0</v>
      </c>
      <c r="H137" s="3">
        <f t="shared" si="6"/>
        <v>0</v>
      </c>
    </row>
    <row r="138" spans="1:8">
      <c r="A138" t="s">
        <v>35</v>
      </c>
      <c r="B138" t="s">
        <v>16</v>
      </c>
      <c r="C138" s="1"/>
      <c r="D138" s="1"/>
      <c r="E138" s="1"/>
      <c r="F138" s="3">
        <f>IF(ISBLANK(C138),0,IF(C138&gt;=参数底稿!$F$20,10,IF(C138&lt;=参数底稿!$E$20,1,1+9*(C138-参数底稿!$E$20)/(参数底稿!$F$20-参数底稿!$E$20))))</f>
        <v>0</v>
      </c>
      <c r="G138" s="3">
        <f>IF(ISBLANK(E138),0,IF(E138&gt;=参数底稿!$F$21,10,IF(E138&lt;=参数底稿!$E$21,1,1+9*(E138-参数底稿!$E$21)/(参数底稿!$F$21-参数底稿!$E$21))))</f>
        <v>0</v>
      </c>
      <c r="H138" s="3">
        <f t="shared" si="6"/>
        <v>0</v>
      </c>
    </row>
    <row r="139" spans="1:8">
      <c r="A139" t="s">
        <v>35</v>
      </c>
      <c r="B139" t="s">
        <v>23</v>
      </c>
      <c r="C139" s="1"/>
      <c r="D139" s="1"/>
      <c r="E139" s="1"/>
      <c r="F139" s="3">
        <f>IF(ISBLANK(C139),0,IF(C139&gt;=参数底稿!$F$20,10,IF(C139&lt;=参数底稿!$E$20,1,1+9*(C139-参数底稿!$E$20)/(参数底稿!$F$20-参数底稿!$E$20))))</f>
        <v>0</v>
      </c>
      <c r="G139" s="3">
        <f>IF(ISBLANK(E139),0,IF(E139&gt;=参数底稿!$F$21,10,IF(E139&lt;=参数底稿!$E$21,1,1+9*(E139-参数底稿!$E$21)/(参数底稿!$F$21-参数底稿!$E$21))))</f>
        <v>0</v>
      </c>
      <c r="H139" s="3">
        <f t="shared" si="6"/>
        <v>0</v>
      </c>
    </row>
    <row r="140" spans="1:8">
      <c r="A140" t="s">
        <v>35</v>
      </c>
      <c r="B140" t="s">
        <v>18</v>
      </c>
      <c r="C140" s="1"/>
      <c r="D140" s="1"/>
      <c r="E140" s="1"/>
      <c r="F140" s="3">
        <f>IF(ISBLANK(C140),0,IF(C140&gt;=参数底稿!$F$20,10,IF(C140&lt;=参数底稿!$E$20,1,1+9*(C140-参数底稿!$E$20)/(参数底稿!$F$20-参数底稿!$E$20))))</f>
        <v>0</v>
      </c>
      <c r="G140" s="3">
        <f>IF(ISBLANK(E140),0,IF(E140&gt;=参数底稿!$F$21,10,IF(E140&lt;=参数底稿!$E$21,1,1+9*(E140-参数底稿!$E$21)/(参数底稿!$F$21-参数底稿!$E$21))))</f>
        <v>0</v>
      </c>
      <c r="H140" s="3">
        <f t="shared" si="6"/>
        <v>0</v>
      </c>
    </row>
    <row r="141" spans="1:8">
      <c r="A141" t="s">
        <v>35</v>
      </c>
      <c r="B141" t="s">
        <v>14</v>
      </c>
      <c r="C141" s="1"/>
      <c r="D141" s="1"/>
      <c r="E141" s="1"/>
      <c r="F141" s="3">
        <f>IF(ISBLANK(C141),0,IF(C141&gt;=参数底稿!$F$20,10,IF(C141&lt;=参数底稿!$E$20,1,1+9*(C141-参数底稿!$E$20)/(参数底稿!$F$20-参数底稿!$E$20))))</f>
        <v>0</v>
      </c>
      <c r="G141" s="3">
        <f>IF(ISBLANK(E141),0,IF(E141&gt;=参数底稿!$F$21,10,IF(E141&lt;=参数底稿!$E$21,1,1+9*(E141-参数底稿!$E$21)/(参数底稿!$F$21-参数底稿!$E$21))))</f>
        <v>0</v>
      </c>
      <c r="H141" s="3">
        <f t="shared" si="6"/>
        <v>0</v>
      </c>
    </row>
    <row r="142" spans="1:8">
      <c r="A142" t="s">
        <v>35</v>
      </c>
      <c r="B142" t="s">
        <v>21</v>
      </c>
      <c r="C142" s="1"/>
      <c r="D142" s="1"/>
      <c r="E142" s="1"/>
      <c r="F142" s="3">
        <f>IF(ISBLANK(C142),0,IF(C142&gt;=参数底稿!$F$20,10,IF(C142&lt;=参数底稿!$E$20,1,1+9*(C142-参数底稿!$E$20)/(参数底稿!$F$20-参数底稿!$E$20))))</f>
        <v>0</v>
      </c>
      <c r="G142" s="3">
        <f>IF(ISBLANK(E142),0,IF(E142&gt;=参数底稿!$F$21,10,IF(E142&lt;=参数底稿!$E$21,1,1+9*(E142-参数底稿!$E$21)/(参数底稿!$F$21-参数底稿!$E$21))))</f>
        <v>0</v>
      </c>
      <c r="H142" s="3">
        <f t="shared" si="6"/>
        <v>0</v>
      </c>
    </row>
    <row r="143" spans="1:8">
      <c r="A143" t="s">
        <v>35</v>
      </c>
      <c r="B143" t="s">
        <v>26</v>
      </c>
      <c r="C143" s="1"/>
      <c r="D143" s="1"/>
      <c r="E143" s="1"/>
      <c r="F143" s="3">
        <f>IF(ISBLANK(C143),0,IF(C143&gt;=参数底稿!$F$20,10,IF(C143&lt;=参数底稿!$E$20,1,1+9*(C143-参数底稿!$E$20)/(参数底稿!$F$20-参数底稿!$E$20))))</f>
        <v>0</v>
      </c>
      <c r="G143" s="3">
        <f>IF(ISBLANK(E143),0,IF(E143&gt;=参数底稿!$F$21,10,IF(E143&lt;=参数底稿!$E$21,1,1+9*(E143-参数底稿!$E$21)/(参数底稿!$F$21-参数底稿!$E$21))))</f>
        <v>0</v>
      </c>
      <c r="H143" s="3">
        <f t="shared" si="6"/>
        <v>0</v>
      </c>
    </row>
    <row r="144" spans="1:8">
      <c r="A144" t="s">
        <v>35</v>
      </c>
      <c r="B144" t="s">
        <v>11</v>
      </c>
      <c r="C144" s="1"/>
      <c r="D144" s="1"/>
      <c r="E144" s="1"/>
      <c r="F144" s="3">
        <f>IF(ISBLANK(C144),0,IF(C144&gt;=参数底稿!$F$20,10,IF(C144&lt;=参数底稿!$E$20,1,1+9*(C144-参数底稿!$E$20)/(参数底稿!$F$20-参数底稿!$E$20))))</f>
        <v>0</v>
      </c>
      <c r="G144" s="3">
        <f>IF(ISBLANK(E144),0,IF(E144&gt;=参数底稿!$F$21,10,IF(E144&lt;=参数底稿!$E$21,1,1+9*(E144-参数底稿!$E$21)/(参数底稿!$F$21-参数底稿!$E$21))))</f>
        <v>0</v>
      </c>
      <c r="H144" s="3">
        <f t="shared" si="6"/>
        <v>0</v>
      </c>
    </row>
    <row r="145" spans="1:8">
      <c r="A145" t="s">
        <v>35</v>
      </c>
      <c r="B145" t="s">
        <v>28</v>
      </c>
      <c r="C145" s="1"/>
      <c r="D145" s="1"/>
      <c r="E145" s="1"/>
      <c r="F145" s="3">
        <f>IF(ISBLANK(C145),0,IF(C145&gt;=参数底稿!$F$20,10,IF(C145&lt;=参数底稿!$E$20,1,1+9*(C145-参数底稿!$E$20)/(参数底稿!$F$20-参数底稿!$E$20))))</f>
        <v>0</v>
      </c>
      <c r="G145" s="3">
        <f>IF(ISBLANK(E145),0,IF(E145&gt;=参数底稿!$F$21,10,IF(E145&lt;=参数底稿!$E$21,1,1+9*(E145-参数底稿!$E$21)/(参数底稿!$F$21-参数底稿!$E$21))))</f>
        <v>0</v>
      </c>
      <c r="H145" s="3">
        <f t="shared" si="6"/>
        <v>0</v>
      </c>
    </row>
    <row r="146" spans="1:8">
      <c r="A146" t="s">
        <v>35</v>
      </c>
      <c r="B146" t="s">
        <v>19</v>
      </c>
      <c r="C146" s="1"/>
      <c r="D146" s="1"/>
      <c r="E146" s="1"/>
      <c r="F146" s="3">
        <f>IF(ISBLANK(C146),0,IF(C146&gt;=参数底稿!$F$20,10,IF(C146&lt;=参数底稿!$E$20,1,1+9*(C146-参数底稿!$E$20)/(参数底稿!$F$20-参数底稿!$E$20))))</f>
        <v>0</v>
      </c>
      <c r="G146" s="3">
        <f>IF(ISBLANK(E146),0,IF(E146&gt;=参数底稿!$F$21,10,IF(E146&lt;=参数底稿!$E$21,1,1+9*(E146-参数底稿!$E$21)/(参数底稿!$F$21-参数底稿!$E$21))))</f>
        <v>0</v>
      </c>
      <c r="H146" s="3">
        <f t="shared" si="6"/>
        <v>0</v>
      </c>
    </row>
    <row r="147" spans="1:8">
      <c r="A147" t="s">
        <v>35</v>
      </c>
      <c r="B147" t="s">
        <v>27</v>
      </c>
      <c r="C147" s="1"/>
      <c r="D147" s="1"/>
      <c r="E147" s="1"/>
      <c r="F147" s="3">
        <f>IF(ISBLANK(C147),0,IF(C147&gt;=参数底稿!$F$20,10,IF(C147&lt;=参数底稿!$E$20,1,1+9*(C147-参数底稿!$E$20)/(参数底稿!$F$20-参数底稿!$E$20))))</f>
        <v>0</v>
      </c>
      <c r="G147" s="3">
        <f>IF(ISBLANK(E147),0,IF(E147&gt;=参数底稿!$F$21,10,IF(E147&lt;=参数底稿!$E$21,1,1+9*(E147-参数底稿!$E$21)/(参数底稿!$F$21-参数底稿!$E$21))))</f>
        <v>0</v>
      </c>
      <c r="H147" s="3">
        <f t="shared" si="6"/>
        <v>0</v>
      </c>
    </row>
    <row r="148" spans="3:5">
      <c r="C148" s="1"/>
      <c r="D148" s="1"/>
      <c r="E148" s="1"/>
    </row>
    <row r="149" spans="1:8">
      <c r="A149" t="s">
        <v>36</v>
      </c>
      <c r="B149" t="s">
        <v>19</v>
      </c>
      <c r="C149" s="1">
        <v>0.0506410869773227</v>
      </c>
      <c r="D149" s="1">
        <v>0.00421685900229116</v>
      </c>
      <c r="E149" s="1">
        <v>11.0091961694256</v>
      </c>
      <c r="F149" s="3">
        <f>IF(ISBLANK(C149),0,IF(C149&gt;=参数底稿!$F$23,10,IF(C149&lt;=参数底稿!$E$23,1,1+9*(C149-参数底稿!$E$23)/(参数底稿!$F$23-参数底稿!$E$23))))</f>
        <v>9.45470787319625</v>
      </c>
      <c r="G149" s="3">
        <f>IF(ISBLANK(E149),0,IF(E149&gt;=参数底稿!$F$24,10,IF(E149&lt;=参数底稿!$E$24,1,1+9*(E149-参数底稿!$E$24)/(参数底稿!$F$24-参数底稿!$E$24))))</f>
        <v>10</v>
      </c>
      <c r="H149" s="3">
        <f t="shared" ref="H148:H168" si="7">0.7*F149+0.3*G149</f>
        <v>9.61829551123737</v>
      </c>
    </row>
    <row r="150" spans="1:8">
      <c r="A150" t="s">
        <v>36</v>
      </c>
      <c r="B150" t="s">
        <v>18</v>
      </c>
      <c r="C150" s="1">
        <v>0.0142763173922577</v>
      </c>
      <c r="D150" s="1">
        <v>0.004642166344294</v>
      </c>
      <c r="E150" s="1">
        <v>2.0753567049155</v>
      </c>
      <c r="F150" s="3">
        <f>IF(ISBLANK(C150),0,IF(C150&gt;=参数底稿!$F$23,10,IF(C150&lt;=参数底稿!$E$23,1,1+9*(C150-参数底稿!$E$23)/(参数底稿!$F$23-参数底稿!$E$23))))</f>
        <v>2.92953838009289</v>
      </c>
      <c r="G150" s="3">
        <f>IF(ISBLANK(E150),0,IF(E150&gt;=参数底稿!$F$24,10,IF(E150&lt;=参数底稿!$E$24,1,1+9*(E150-参数底稿!$E$24)/(参数底稿!$F$24-参数底稿!$E$24))))</f>
        <v>10</v>
      </c>
      <c r="H150" s="3">
        <f t="shared" si="7"/>
        <v>5.05067686606503</v>
      </c>
    </row>
    <row r="151" spans="1:8">
      <c r="A151" t="s">
        <v>36</v>
      </c>
      <c r="B151" t="s">
        <v>28</v>
      </c>
      <c r="C151" s="1">
        <v>0.0633806708294192</v>
      </c>
      <c r="D151" s="1">
        <v>0.0225874710890212</v>
      </c>
      <c r="E151" s="1">
        <v>1.80601004776608</v>
      </c>
      <c r="F151" s="3">
        <f>IF(ISBLANK(C151),0,IF(C151&gt;=参数底稿!$F$23,10,IF(C151&lt;=参数底稿!$E$23,1,1+9*(C151-参数底稿!$E$23)/(参数底稿!$F$23-参数底稿!$E$23))))</f>
        <v>10</v>
      </c>
      <c r="G151" s="3">
        <f>IF(ISBLANK(E151),0,IF(E151&gt;=参数底稿!$F$24,10,IF(E151&lt;=参数底稿!$E$24,1,1+9*(E151-参数底稿!$E$24)/(参数底稿!$F$24-参数底稿!$E$24))))</f>
        <v>9.81320444803244</v>
      </c>
      <c r="H151" s="3">
        <f t="shared" si="7"/>
        <v>9.94396133440973</v>
      </c>
    </row>
    <row r="152" spans="1:8">
      <c r="A152" t="s">
        <v>36</v>
      </c>
      <c r="B152" t="s">
        <v>23</v>
      </c>
      <c r="C152" s="1">
        <v>0.02695510937554</v>
      </c>
      <c r="D152" s="1">
        <v>0.0115526099778068</v>
      </c>
      <c r="E152" s="1">
        <v>1.33324845444641</v>
      </c>
      <c r="F152" s="3">
        <f>IF(ISBLANK(C152),0,IF(C152&gt;=参数底稿!$F$23,10,IF(C152&lt;=参数底稿!$E$23,1,1+9*(C152-参数底稿!$E$23)/(参数底稿!$F$23-参数底稿!$E$23))))</f>
        <v>5.20457731482864</v>
      </c>
      <c r="G152" s="3">
        <f>IF(ISBLANK(E152),0,IF(E152&gt;=参数底稿!$F$24,10,IF(E152&lt;=参数底稿!$E$24,1,1+9*(E152-参数底稿!$E$24)/(参数底稿!$F$24-参数底稿!$E$24))))</f>
        <v>8.17386009268399</v>
      </c>
      <c r="H152" s="3">
        <f t="shared" si="7"/>
        <v>6.09536214818524</v>
      </c>
    </row>
    <row r="153" spans="1:8">
      <c r="A153" t="s">
        <v>36</v>
      </c>
      <c r="B153" t="s">
        <v>9</v>
      </c>
      <c r="C153" s="1">
        <v>0.00412076591302437</v>
      </c>
      <c r="D153" s="1">
        <v>0.00271884510476324</v>
      </c>
      <c r="E153" s="1">
        <v>0.51563099560363</v>
      </c>
      <c r="F153" s="3">
        <f>IF(ISBLANK(C153),0,IF(C153&gt;=参数底稿!$F$23,10,IF(C153&lt;=参数底稿!$E$23,1,1+9*(C153-参数底稿!$E$23)/(参数底稿!$F$23-参数底稿!$E$23))))</f>
        <v>1.10726106460154</v>
      </c>
      <c r="G153" s="3">
        <f>IF(ISBLANK(E153),0,IF(E153&gt;=参数底稿!$F$24,10,IF(E153&lt;=参数底稿!$E$24,1,1+9*(E153-参数底稿!$E$24)/(参数底稿!$F$24-参数底稿!$E$24))))</f>
        <v>5.33869627030908</v>
      </c>
      <c r="H153" s="3">
        <f t="shared" si="7"/>
        <v>2.3766916263138</v>
      </c>
    </row>
    <row r="154" spans="1:8">
      <c r="A154" t="s">
        <v>36</v>
      </c>
      <c r="B154" t="s">
        <v>10</v>
      </c>
      <c r="C154" s="1">
        <v>0.0455284320994696</v>
      </c>
      <c r="D154" s="1">
        <v>0.0310048327370866</v>
      </c>
      <c r="E154" s="1">
        <v>0.468430179434916</v>
      </c>
      <c r="F154" s="3">
        <f>IF(ISBLANK(C154),0,IF(C154&gt;=参数底稿!$F$23,10,IF(C154&lt;=参数底稿!$E$23,1,1+9*(C154-参数底稿!$E$23)/(参数底稿!$F$23-参数底稿!$E$23))))</f>
        <v>8.53731062254972</v>
      </c>
      <c r="G154" s="3">
        <f>IF(ISBLANK(E154),0,IF(E154&gt;=参数底稿!$F$24,10,IF(E154&lt;=参数底稿!$E$24,1,1+9*(E154-参数底稿!$E$24)/(参数底稿!$F$24-参数底稿!$E$24))))</f>
        <v>5.17502309413019</v>
      </c>
      <c r="H154" s="3">
        <f t="shared" si="7"/>
        <v>7.52862436402386</v>
      </c>
    </row>
    <row r="155" spans="1:8">
      <c r="A155" t="s">
        <v>36</v>
      </c>
      <c r="B155" t="s">
        <v>12</v>
      </c>
      <c r="C155" s="1">
        <v>0.00453282060988852</v>
      </c>
      <c r="D155" s="1">
        <v>0.00375882898748319</v>
      </c>
      <c r="E155" s="1">
        <v>0.205912965176841</v>
      </c>
      <c r="F155" s="3">
        <f>IF(ISBLANK(C155),0,IF(C155&gt;=参数底稿!$F$23,10,IF(C155&lt;=参数底稿!$E$23,1,1+9*(C155-参数底稿!$E$23)/(参数底稿!$F$23-参数底稿!$E$23))))</f>
        <v>1.18119874571838</v>
      </c>
      <c r="G155" s="3">
        <f>IF(ISBLANK(E155),0,IF(E155&gt;=参数底稿!$F$24,10,IF(E155&lt;=参数底稿!$E$24,1,1+9*(E155-参数底稿!$E$24)/(参数底稿!$F$24-参数底稿!$E$24))))</f>
        <v>4.26472048186876</v>
      </c>
      <c r="H155" s="3">
        <f t="shared" si="7"/>
        <v>2.10625526656349</v>
      </c>
    </row>
    <row r="156" spans="1:8">
      <c r="A156" t="s">
        <v>36</v>
      </c>
      <c r="B156" t="s">
        <v>14</v>
      </c>
      <c r="C156" s="1">
        <v>0.0148827877681574</v>
      </c>
      <c r="D156" s="1">
        <v>0.0131167307566969</v>
      </c>
      <c r="E156" s="1">
        <v>0.134641553922182</v>
      </c>
      <c r="F156" s="3">
        <f>IF(ISBLANK(C156),0,IF(C156&gt;=参数底稿!$F$23,10,IF(C156&lt;=参数底稿!$E$23,1,1+9*(C156-参数底稿!$E$23)/(参数底稿!$F$23-参数底稿!$E$23))))</f>
        <v>3.03836134364927</v>
      </c>
      <c r="G156" s="3">
        <f>IF(ISBLANK(E156),0,IF(E156&gt;=参数底稿!$F$24,10,IF(E156&lt;=参数底稿!$E$24,1,1+9*(E156-参数底稿!$E$24)/(参数底稿!$F$24-参数底稿!$E$24))))</f>
        <v>4.01758030087897</v>
      </c>
      <c r="H156" s="3">
        <f t="shared" si="7"/>
        <v>3.33212703081818</v>
      </c>
    </row>
    <row r="157" spans="1:8">
      <c r="A157" t="s">
        <v>36</v>
      </c>
      <c r="B157" t="s">
        <v>20</v>
      </c>
      <c r="C157" s="1">
        <v>0.0445384211105272</v>
      </c>
      <c r="D157" s="1">
        <v>0.0414512216041365</v>
      </c>
      <c r="E157" s="1">
        <v>0.0744778895993388</v>
      </c>
      <c r="F157" s="3">
        <f>IF(ISBLANK(C157),0,IF(C157&gt;=参数底稿!$F$23,10,IF(C157&lt;=参数底稿!$E$23,1,1+9*(C157-参数底稿!$E$23)/(参数底稿!$F$23-参数底稿!$E$23))))</f>
        <v>8.35966644725053</v>
      </c>
      <c r="G157" s="3">
        <f>IF(ISBLANK(E157),0,IF(E157&gt;=参数底稿!$F$24,10,IF(E157&lt;=参数底稿!$E$24,1,1+9*(E157-参数底稿!$E$24)/(参数底稿!$F$24-参数底稿!$E$24))))</f>
        <v>3.80895725514429</v>
      </c>
      <c r="H157" s="3">
        <f t="shared" si="7"/>
        <v>6.99445368961866</v>
      </c>
    </row>
    <row r="158" spans="1:8">
      <c r="A158" t="s">
        <v>36</v>
      </c>
      <c r="B158" t="s">
        <v>13</v>
      </c>
      <c r="C158" s="1">
        <v>0.03128065665785</v>
      </c>
      <c r="D158" s="1">
        <v>0.0315106069568647</v>
      </c>
      <c r="E158" s="1">
        <v>-0.00729755219661335</v>
      </c>
      <c r="F158" s="3">
        <f>IF(ISBLANK(C158),0,IF(C158&gt;=参数底稿!$F$23,10,IF(C158&lt;=参数底稿!$E$23,1,1+9*(C158-参数底稿!$E$23)/(参数底稿!$F$23-参数底稿!$E$23))))</f>
        <v>5.98073867896106</v>
      </c>
      <c r="G158" s="3">
        <f>IF(ISBLANK(E158),0,IF(E158&gt;=参数底稿!$F$24,10,IF(E158&lt;=参数底稿!$E$24,1,1+9*(E158-参数底稿!$E$24)/(参数底稿!$F$24-参数底稿!$E$24))))</f>
        <v>3.52539338107199</v>
      </c>
      <c r="H158" s="3">
        <f t="shared" si="7"/>
        <v>5.24413508959434</v>
      </c>
    </row>
    <row r="159" spans="1:8">
      <c r="A159" t="s">
        <v>36</v>
      </c>
      <c r="B159" t="s">
        <v>16</v>
      </c>
      <c r="C159" s="1">
        <v>0.0325576273674938</v>
      </c>
      <c r="D159" s="1">
        <v>0.0380995981484307</v>
      </c>
      <c r="E159" s="1">
        <v>-0.145460084889773</v>
      </c>
      <c r="F159" s="3">
        <f>IF(ISBLANK(C159),0,IF(C159&gt;=参数底稿!$F$23,10,IF(C159&lt;=参数底稿!$E$23,1,1+9*(C159-参数底稿!$E$23)/(参数底稿!$F$23-参数底稿!$E$23))))</f>
        <v>6.2098739220337</v>
      </c>
      <c r="G159" s="3">
        <f>IF(ISBLANK(E159),0,IF(E159&gt;=参数底稿!$F$24,10,IF(E159&lt;=参数底稿!$E$24,1,1+9*(E159-参数底稿!$E$24)/(参数底稿!$F$24-参数底稿!$E$24))))</f>
        <v>3.04630207735429</v>
      </c>
      <c r="H159" s="3">
        <f t="shared" si="7"/>
        <v>5.26080236862988</v>
      </c>
    </row>
    <row r="160" spans="1:8">
      <c r="A160" t="s">
        <v>36</v>
      </c>
      <c r="B160" t="s">
        <v>25</v>
      </c>
      <c r="C160" s="1">
        <v>0.0532535370738623</v>
      </c>
      <c r="D160" s="1">
        <v>0.0643689097989463</v>
      </c>
      <c r="E160" s="1">
        <v>-0.172682320701134</v>
      </c>
      <c r="F160" s="3">
        <f>IF(ISBLANK(C160),0,IF(C160&gt;=参数底稿!$F$23,10,IF(C160&lt;=参数底稿!$E$23,1,1+9*(C160-参数底稿!$E$23)/(参数底稿!$F$23-参数底稿!$E$23))))</f>
        <v>9.92347695565446</v>
      </c>
      <c r="G160" s="3">
        <f>IF(ISBLANK(E160),0,IF(E160&gt;=参数底稿!$F$24,10,IF(E160&lt;=参数底稿!$E$24,1,1+9*(E160-参数底稿!$E$24)/(参数底稿!$F$24-参数底稿!$E$24))))</f>
        <v>2.9519064681341</v>
      </c>
      <c r="H160" s="3">
        <f t="shared" si="7"/>
        <v>7.83200580939835</v>
      </c>
    </row>
    <row r="161" spans="1:8">
      <c r="A161" t="s">
        <v>36</v>
      </c>
      <c r="B161" t="s">
        <v>11</v>
      </c>
      <c r="C161" s="1">
        <v>0.0228700678562453</v>
      </c>
      <c r="D161" s="1">
        <v>0.0278001683773085</v>
      </c>
      <c r="E161" s="1">
        <v>-0.177340671256053</v>
      </c>
      <c r="F161" s="3">
        <f>IF(ISBLANK(C161),0,IF(C161&gt;=参数底稿!$F$23,10,IF(C161&lt;=参数底稿!$E$23,1,1+9*(C161-参数底稿!$E$23)/(参数底稿!$F$23-参数底稿!$E$23))))</f>
        <v>4.47157147967796</v>
      </c>
      <c r="G161" s="3">
        <f>IF(ISBLANK(E161),0,IF(E161&gt;=参数底稿!$F$24,10,IF(E161&lt;=参数底稿!$E$24,1,1+9*(E161-参数底稿!$E$24)/(参数底稿!$F$24-参数底稿!$E$24))))</f>
        <v>2.93575320865755</v>
      </c>
      <c r="H161" s="3">
        <f t="shared" si="7"/>
        <v>4.01082599837184</v>
      </c>
    </row>
    <row r="162" spans="1:8">
      <c r="A162" t="s">
        <v>36</v>
      </c>
      <c r="B162" t="s">
        <v>24</v>
      </c>
      <c r="C162" s="1">
        <v>0.0553833952620835</v>
      </c>
      <c r="D162" s="1">
        <v>0.0802097357046695</v>
      </c>
      <c r="E162" s="1">
        <v>-0.309517793874749</v>
      </c>
      <c r="F162" s="3">
        <f>IF(ISBLANK(C162),0,IF(C162&gt;=参数底稿!$F$23,10,IF(C162&lt;=参数底稿!$E$23,1,1+9*(C162-参数底稿!$E$23)/(参数底稿!$F$23-参数底稿!$E$23))))</f>
        <v>10</v>
      </c>
      <c r="G162" s="3">
        <f>IF(ISBLANK(E162),0,IF(E162&gt;=参数底稿!$F$24,10,IF(E162&lt;=参数底稿!$E$24,1,1+9*(E162-参数底稿!$E$24)/(参数底稿!$F$24-参数底稿!$E$24))))</f>
        <v>2.4774168654922</v>
      </c>
      <c r="H162" s="3">
        <f t="shared" si="7"/>
        <v>7.74322505964766</v>
      </c>
    </row>
    <row r="163" spans="1:8">
      <c r="A163" t="s">
        <v>36</v>
      </c>
      <c r="B163" t="s">
        <v>22</v>
      </c>
      <c r="C163" s="1">
        <v>0.00508440309085496</v>
      </c>
      <c r="D163" s="1">
        <v>0.0140138296381221</v>
      </c>
      <c r="E163" s="1">
        <v>-0.637186748936653</v>
      </c>
      <c r="F163" s="3">
        <f>IF(ISBLANK(C163),0,IF(C163&gt;=参数底稿!$F$23,10,IF(C163&lt;=参数底稿!$E$23,1,1+9*(C163-参数底稿!$E$23)/(参数底稿!$F$23-参数底稿!$E$23))))</f>
        <v>1.28017281371882</v>
      </c>
      <c r="G163" s="3">
        <f>IF(ISBLANK(E163),0,IF(E163&gt;=参数底稿!$F$24,10,IF(E163&lt;=参数底稿!$E$24,1,1+9*(E163-参数底稿!$E$24)/(参数底稿!$F$24-参数底稿!$E$24))))</f>
        <v>1.34119459301069</v>
      </c>
      <c r="H163" s="3">
        <f t="shared" si="7"/>
        <v>1.29847934750638</v>
      </c>
    </row>
    <row r="164" spans="1:8">
      <c r="A164" t="s">
        <v>36</v>
      </c>
      <c r="B164" t="s">
        <v>17</v>
      </c>
      <c r="C164" s="1">
        <v>0.00247435625190424</v>
      </c>
      <c r="D164" s="1">
        <v>0.00736632061954449</v>
      </c>
      <c r="E164" s="1">
        <v>-0.664098757072938</v>
      </c>
      <c r="F164" s="3">
        <f>IF(ISBLANK(C164),0,IF(C164&gt;=参数底稿!$F$23,10,IF(C164&lt;=参数底稿!$E$23,1,1+9*(C164-参数底稿!$E$23)/(参数底稿!$F$23-参数底稿!$E$23))))</f>
        <v>1</v>
      </c>
      <c r="G164" s="3">
        <f>IF(ISBLANK(E164),0,IF(E164&gt;=参数底稿!$F$24,10,IF(E164&lt;=参数底稿!$E$24,1,1+9*(E164-参数底稿!$E$24)/(参数底稿!$F$24-参数底稿!$E$24))))</f>
        <v>1.24787472681869</v>
      </c>
      <c r="H164" s="3">
        <f t="shared" si="7"/>
        <v>1.07436241804561</v>
      </c>
    </row>
    <row r="165" spans="1:8">
      <c r="A165" t="s">
        <v>36</v>
      </c>
      <c r="B165" t="s">
        <v>21</v>
      </c>
      <c r="C165" s="1">
        <v>0.00378573393085373</v>
      </c>
      <c r="D165" s="1">
        <v>0.0127786278483107</v>
      </c>
      <c r="E165" s="1">
        <v>-0.703744879669987</v>
      </c>
      <c r="F165" s="3">
        <f>IF(ISBLANK(C165),0,IF(C165&gt;=参数底稿!$F$23,10,IF(C165&lt;=参数底稿!$E$23,1,1+9*(C165-参数底稿!$E$23)/(参数底稿!$F$23-参数底稿!$E$23))))</f>
        <v>1.04714407515768</v>
      </c>
      <c r="G165" s="3">
        <f>IF(ISBLANK(E165),0,IF(E165&gt;=参数底稿!$F$24,10,IF(E165&lt;=参数底稿!$E$24,1,1+9*(E165-参数底稿!$E$24)/(参数底稿!$F$24-参数底稿!$E$24))))</f>
        <v>1.11039814621376</v>
      </c>
      <c r="H165" s="3">
        <f t="shared" si="7"/>
        <v>1.0661202964745</v>
      </c>
    </row>
    <row r="166" spans="1:8">
      <c r="A166" t="s">
        <v>36</v>
      </c>
      <c r="B166" t="s">
        <v>27</v>
      </c>
      <c r="C166" s="1">
        <v>0.0115164175906583</v>
      </c>
      <c r="D166" s="1">
        <v>0.0840189804536154</v>
      </c>
      <c r="E166" s="1">
        <v>-0.86293076244818</v>
      </c>
      <c r="F166" s="3">
        <f>IF(ISBLANK(C166),0,IF(C166&gt;=参数底稿!$F$23,10,IF(C166&lt;=参数底稿!$E$23,1,1+9*(C166-参数底稿!$E$23)/(参数底稿!$F$23-参数底稿!$E$23))))</f>
        <v>2.43431142843321</v>
      </c>
      <c r="G166" s="3">
        <f>IF(ISBLANK(E166),0,IF(E166&gt;=参数底稿!$F$24,10,IF(E166&lt;=参数底稿!$E$24,1,1+9*(E166-参数底稿!$E$24)/(参数底稿!$F$24-参数底稿!$E$24))))</f>
        <v>1</v>
      </c>
      <c r="H166" s="3">
        <f t="shared" si="7"/>
        <v>2.00401799990325</v>
      </c>
    </row>
    <row r="167" spans="1:8">
      <c r="A167" t="s">
        <v>36</v>
      </c>
      <c r="B167" t="s">
        <v>15</v>
      </c>
      <c r="C167" s="1">
        <v>0.00141134205799333</v>
      </c>
      <c r="D167" s="1">
        <v>0.0177115907110268</v>
      </c>
      <c r="E167" s="1">
        <v>-0.920315341460851</v>
      </c>
      <c r="F167" s="3">
        <f>IF(ISBLANK(C167),0,IF(C167&gt;=参数底稿!$F$23,10,IF(C167&lt;=参数底稿!$E$23,1,1+9*(C167-参数底稿!$E$23)/(参数底稿!$F$23-参数底稿!$E$23))))</f>
        <v>1</v>
      </c>
      <c r="G167" s="3">
        <f>IF(ISBLANK(E167),0,IF(E167&gt;=参数底稿!$F$24,10,IF(E167&lt;=参数底稿!$E$24,1,1+9*(E167-参数底稿!$E$24)/(参数底稿!$F$24-参数底稿!$E$24))))</f>
        <v>1</v>
      </c>
      <c r="H167" s="3">
        <f t="shared" si="7"/>
        <v>1</v>
      </c>
    </row>
    <row r="168" spans="1:8">
      <c r="A168" t="s">
        <v>36</v>
      </c>
      <c r="B168" t="s">
        <v>26</v>
      </c>
      <c r="C168" s="1"/>
      <c r="D168" s="1"/>
      <c r="E168" s="1"/>
      <c r="F168" s="3">
        <f>IF(ISBLANK(C168),0,IF(C168&gt;=参数底稿!$F$23,10,IF(C168&lt;=参数底稿!$E$23,1,1+9*(C168-参数底稿!$E$23)/(参数底稿!$F$23-参数底稿!$E$23))))</f>
        <v>0</v>
      </c>
      <c r="G168" s="3">
        <f>IF(ISBLANK(E168),0,IF(E168&gt;=参数底稿!$F$24,10,IF(E168&lt;=参数底稿!$E$24,1,1+9*(E168-参数底稿!$E$24)/(参数底稿!$F$24-参数底稿!$E$24))))</f>
        <v>0</v>
      </c>
      <c r="H168" s="3">
        <f t="shared" si="7"/>
        <v>0</v>
      </c>
    </row>
    <row r="169" spans="3:5">
      <c r="C169" s="1"/>
      <c r="D169" s="1"/>
      <c r="E169" s="1"/>
    </row>
    <row r="170" spans="1:8">
      <c r="A170" t="s">
        <v>37</v>
      </c>
      <c r="B170" t="s">
        <v>17</v>
      </c>
      <c r="C170" s="1">
        <v>0.120742050683332</v>
      </c>
      <c r="D170" s="1">
        <v>0.0178594544214987</v>
      </c>
      <c r="E170" s="1">
        <v>5.76067968448054</v>
      </c>
      <c r="F170" s="3">
        <f>IF(ISBLANK(C170),0,IF(C170&gt;=参数底稿!$F$26,10,IF(C170&lt;=参数底稿!$E$26,1,1+9*(C170-参数底稿!$E$26)/(参数底稿!$F$26-参数底稿!$E$26))))</f>
        <v>4.51410775698572</v>
      </c>
      <c r="G170" s="3">
        <f>IF(ISBLANK(E170),0,IF(E170&gt;=参数底稿!$F$27,10,IF(E170&lt;=参数底稿!$E$27,1,1+9*(E170-参数底稿!$E$27)/(参数底稿!$F$27-参数底稿!$E$27))))</f>
        <v>10</v>
      </c>
      <c r="H170" s="3">
        <f t="shared" ref="H169:H189" si="8">0.7*F170+0.3*G170</f>
        <v>6.15987542989</v>
      </c>
    </row>
    <row r="171" spans="1:8">
      <c r="A171" t="s">
        <v>37</v>
      </c>
      <c r="B171" t="s">
        <v>20</v>
      </c>
      <c r="C171" s="1">
        <v>0.143246187363834</v>
      </c>
      <c r="D171" s="1">
        <v>0.0484966052376334</v>
      </c>
      <c r="E171" s="1">
        <v>1.95373638344227</v>
      </c>
      <c r="F171" s="3">
        <f>IF(ISBLANK(C171),0,IF(C171&gt;=参数底稿!$F$26,10,IF(C171&lt;=参数底稿!$E$26,1,1+9*(C171-参数底稿!$E$26)/(参数底稿!$F$26-参数底稿!$E$26))))</f>
        <v>5.93147292297603</v>
      </c>
      <c r="G171" s="3">
        <f>IF(ISBLANK(E171),0,IF(E171&gt;=参数底稿!$F$27,10,IF(E171&lt;=参数底稿!$E$27,1,1+9*(E171-参数底稿!$E$27)/(参数底稿!$F$27-参数底稿!$E$27))))</f>
        <v>5.59996420921599</v>
      </c>
      <c r="H171" s="3">
        <f t="shared" si="8"/>
        <v>5.83202030884802</v>
      </c>
    </row>
    <row r="172" spans="1:8">
      <c r="A172" t="s">
        <v>37</v>
      </c>
      <c r="B172" t="s">
        <v>25</v>
      </c>
      <c r="C172" s="1">
        <v>0.128857381150959</v>
      </c>
      <c r="D172" s="1">
        <v>0.0617886178861789</v>
      </c>
      <c r="E172" s="1">
        <v>1.08545498441684</v>
      </c>
      <c r="F172" s="3">
        <f>IF(ISBLANK(C172),0,IF(C172&gt;=参数底稿!$F$26,10,IF(C172&lt;=参数底稿!$E$26,1,1+9*(C172-参数底稿!$E$26)/(参数底稿!$F$26-参数底稿!$E$26))))</f>
        <v>5.02523097306893</v>
      </c>
      <c r="G172" s="3">
        <f>IF(ISBLANK(E172),0,IF(E172&gt;=参数底稿!$F$27,10,IF(E172&lt;=参数底稿!$E$27,1,1+9*(E172-参数底稿!$E$27)/(参数底稿!$F$27-参数底稿!$E$27))))</f>
        <v>3.59285824611636</v>
      </c>
      <c r="H172" s="3">
        <f t="shared" si="8"/>
        <v>4.59551915498316</v>
      </c>
    </row>
    <row r="173" spans="1:8">
      <c r="A173" t="s">
        <v>37</v>
      </c>
      <c r="B173" t="s">
        <v>13</v>
      </c>
      <c r="C173" s="1">
        <v>0.208908772612332</v>
      </c>
      <c r="D173" s="1">
        <v>0.144204851752022</v>
      </c>
      <c r="E173" s="1">
        <v>0.448694479236921</v>
      </c>
      <c r="F173" s="3">
        <f>IF(ISBLANK(C173),0,IF(C173&gt;=参数底稿!$F$26,10,IF(C173&lt;=参数底稿!$E$26,1,1+9*(C173-参数底稿!$E$26)/(参数底稿!$F$26-参数底稿!$E$26))))</f>
        <v>10</v>
      </c>
      <c r="G173" s="3">
        <f>IF(ISBLANK(E173),0,IF(E173&gt;=参数底稿!$F$27,10,IF(E173&lt;=参数底稿!$E$27,1,1+9*(E173-参数底稿!$E$27)/(参数底稿!$F$27-参数底稿!$E$27))))</f>
        <v>2.12093242984592</v>
      </c>
      <c r="H173" s="3">
        <f t="shared" si="8"/>
        <v>7.63627972895378</v>
      </c>
    </row>
    <row r="174" spans="1:8">
      <c r="A174" t="s">
        <v>37</v>
      </c>
      <c r="B174" t="s">
        <v>21</v>
      </c>
      <c r="C174" s="1">
        <v>0.207134687183029</v>
      </c>
      <c r="D174" s="1">
        <v>0.195937953782684</v>
      </c>
      <c r="E174" s="1">
        <v>0.0571442805448639</v>
      </c>
      <c r="F174" s="3">
        <f>IF(ISBLANK(C174),0,IF(C174&gt;=参数底稿!$F$26,10,IF(C174&lt;=参数底稿!$E$26,1,1+9*(C174-参数底稿!$E$26)/(参数底稿!$F$26-参数底稿!$E$26))))</f>
        <v>9.95532575664472</v>
      </c>
      <c r="G174" s="3">
        <f>IF(ISBLANK(E174),0,IF(E174&gt;=参数底稿!$F$27,10,IF(E174&lt;=参数底稿!$E$27,1,1+9*(E174-参数底稿!$E$27)/(参数底稿!$F$27-参数底稿!$E$27))))</f>
        <v>1.21583099668179</v>
      </c>
      <c r="H174" s="3">
        <f t="shared" si="8"/>
        <v>7.33347732865584</v>
      </c>
    </row>
    <row r="175" spans="1:8">
      <c r="A175" t="s">
        <v>37</v>
      </c>
      <c r="B175" t="s">
        <v>12</v>
      </c>
      <c r="C175" s="1">
        <v>0.0887708649468892</v>
      </c>
      <c r="D175" s="1">
        <v>0.101987899740709</v>
      </c>
      <c r="E175" s="1">
        <v>-0.129594146241095</v>
      </c>
      <c r="F175" s="3">
        <f>IF(ISBLANK(C175),0,IF(C175&gt;=参数底稿!$F$26,10,IF(C175&lt;=参数底稿!$E$26,1,1+9*(C175-参数底稿!$E$26)/(参数底稿!$F$26-参数底稿!$E$26))))</f>
        <v>2.50048485637909</v>
      </c>
      <c r="G175" s="3">
        <f>IF(ISBLANK(E175),0,IF(E175&gt;=参数底稿!$F$27,10,IF(E175&lt;=参数底稿!$E$27,1,1+9*(E175-参数底稿!$E$27)/(参数底稿!$F$27-参数底稿!$E$27))))</f>
        <v>1</v>
      </c>
      <c r="H175" s="3">
        <f t="shared" si="8"/>
        <v>2.05033939946536</v>
      </c>
    </row>
    <row r="176" spans="1:8">
      <c r="A176" t="s">
        <v>37</v>
      </c>
      <c r="B176" t="s">
        <v>16</v>
      </c>
      <c r="C176" s="1"/>
      <c r="D176" s="1"/>
      <c r="E176" s="1"/>
      <c r="F176" s="3">
        <f>IF(ISBLANK(C176),0,IF(C176&gt;=参数底稿!$F$26,10,IF(C176&lt;=参数底稿!$E$26,1,1+9*(C176-参数底稿!$E$26)/(参数底稿!$F$26-参数底稿!$E$26))))</f>
        <v>0</v>
      </c>
      <c r="G176" s="3">
        <f>IF(ISBLANK(E176),0,IF(E176&gt;=参数底稿!$F$27,10,IF(E176&lt;=参数底稿!$E$27,1,1+9*(E176-参数底稿!$E$27)/(参数底稿!$F$27-参数底稿!$E$27))))</f>
        <v>0</v>
      </c>
      <c r="H176" s="3">
        <f t="shared" si="8"/>
        <v>0</v>
      </c>
    </row>
    <row r="177" spans="1:8">
      <c r="A177" t="s">
        <v>37</v>
      </c>
      <c r="B177" t="s">
        <v>9</v>
      </c>
      <c r="C177" s="1"/>
      <c r="D177" s="1"/>
      <c r="E177" s="1"/>
      <c r="F177" s="3">
        <f>IF(ISBLANK(C177),0,IF(C177&gt;=参数底稿!$F$26,10,IF(C177&lt;=参数底稿!$E$26,1,1+9*(C177-参数底稿!$E$26)/(参数底稿!$F$26-参数底稿!$E$26))))</f>
        <v>0</v>
      </c>
      <c r="G177" s="3">
        <f>IF(ISBLANK(E177),0,IF(E177&gt;=参数底稿!$F$27,10,IF(E177&lt;=参数底稿!$E$27,1,1+9*(E177-参数底稿!$E$27)/(参数底稿!$F$27-参数底稿!$E$27))))</f>
        <v>0</v>
      </c>
      <c r="H177" s="3">
        <f t="shared" si="8"/>
        <v>0</v>
      </c>
    </row>
    <row r="178" spans="1:8">
      <c r="A178" t="s">
        <v>37</v>
      </c>
      <c r="B178" t="s">
        <v>14</v>
      </c>
      <c r="C178" s="1"/>
      <c r="D178" s="1"/>
      <c r="E178" s="1"/>
      <c r="F178" s="3">
        <f>IF(ISBLANK(C178),0,IF(C178&gt;=参数底稿!$F$26,10,IF(C178&lt;=参数底稿!$E$26,1,1+9*(C178-参数底稿!$E$26)/(参数底稿!$F$26-参数底稿!$E$26))))</f>
        <v>0</v>
      </c>
      <c r="G178" s="3">
        <f>IF(ISBLANK(E178),0,IF(E178&gt;=参数底稿!$F$27,10,IF(E178&lt;=参数底稿!$E$27,1,1+9*(E178-参数底稿!$E$27)/(参数底稿!$F$27-参数底稿!$E$27))))</f>
        <v>0</v>
      </c>
      <c r="H178" s="3">
        <f t="shared" si="8"/>
        <v>0</v>
      </c>
    </row>
    <row r="179" spans="1:8">
      <c r="A179" t="s">
        <v>37</v>
      </c>
      <c r="B179" t="s">
        <v>22</v>
      </c>
      <c r="C179" s="1">
        <v>0.0292105465446998</v>
      </c>
      <c r="D179" s="1"/>
      <c r="E179" s="1"/>
      <c r="F179" s="3">
        <f>IF(ISBLANK(C179),0,IF(C179&gt;=参数底稿!$F$26,10,IF(C179&lt;=参数底稿!$E$26,1,1+9*(C179-参数底稿!$E$26)/(参数底稿!$F$26-参数底稿!$E$26))))</f>
        <v>1</v>
      </c>
      <c r="G179" s="3">
        <f>IF(ISBLANK(E179),0,IF(E179&gt;=参数底稿!$F$27,10,IF(E179&lt;=参数底稿!$E$27,1,1+9*(E179-参数底稿!$E$27)/(参数底稿!$F$27-参数底稿!$E$27))))</f>
        <v>0</v>
      </c>
      <c r="H179" s="3">
        <f t="shared" si="8"/>
        <v>0.7</v>
      </c>
    </row>
    <row r="180" spans="1:8">
      <c r="A180" t="s">
        <v>37</v>
      </c>
      <c r="B180" t="s">
        <v>18</v>
      </c>
      <c r="C180" s="1"/>
      <c r="D180" s="1"/>
      <c r="E180" s="1"/>
      <c r="F180" s="3">
        <f>IF(ISBLANK(C180),0,IF(C180&gt;=参数底稿!$F$26,10,IF(C180&lt;=参数底稿!$E$26,1,1+9*(C180-参数底稿!$E$26)/(参数底稿!$F$26-参数底稿!$E$26))))</f>
        <v>0</v>
      </c>
      <c r="G180" s="3">
        <f>IF(ISBLANK(E180),0,IF(E180&gt;=参数底稿!$F$27,10,IF(E180&lt;=参数底稿!$E$27,1,1+9*(E180-参数底稿!$E$27)/(参数底稿!$F$27-参数底稿!$E$27))))</f>
        <v>0</v>
      </c>
      <c r="H180" s="3">
        <f t="shared" si="8"/>
        <v>0</v>
      </c>
    </row>
    <row r="181" spans="1:8">
      <c r="A181" t="s">
        <v>37</v>
      </c>
      <c r="B181" t="s">
        <v>24</v>
      </c>
      <c r="C181" s="1"/>
      <c r="D181" s="1"/>
      <c r="E181" s="1"/>
      <c r="F181" s="3">
        <f>IF(ISBLANK(C181),0,IF(C181&gt;=参数底稿!$F$26,10,IF(C181&lt;=参数底稿!$E$26,1,1+9*(C181-参数底稿!$E$26)/(参数底稿!$F$26-参数底稿!$E$26))))</f>
        <v>0</v>
      </c>
      <c r="G181" s="3">
        <f>IF(ISBLANK(E181),0,IF(E181&gt;=参数底稿!$F$27,10,IF(E181&lt;=参数底稿!$E$27,1,1+9*(E181-参数底稿!$E$27)/(参数底稿!$F$27-参数底稿!$E$27))))</f>
        <v>0</v>
      </c>
      <c r="H181" s="3">
        <f t="shared" si="8"/>
        <v>0</v>
      </c>
    </row>
    <row r="182" spans="1:8">
      <c r="A182" t="s">
        <v>37</v>
      </c>
      <c r="B182" t="s">
        <v>23</v>
      </c>
      <c r="C182" s="1"/>
      <c r="D182" s="1"/>
      <c r="E182" s="1"/>
      <c r="F182" s="3">
        <f>IF(ISBLANK(C182),0,IF(C182&gt;=参数底稿!$F$26,10,IF(C182&lt;=参数底稿!$E$26,1,1+9*(C182-参数底稿!$E$26)/(参数底稿!$F$26-参数底稿!$E$26))))</f>
        <v>0</v>
      </c>
      <c r="G182" s="3">
        <f>IF(ISBLANK(E182),0,IF(E182&gt;=参数底稿!$F$27,10,IF(E182&lt;=参数底稿!$E$27,1,1+9*(E182-参数底稿!$E$27)/(参数底稿!$F$27-参数底稿!$E$27))))</f>
        <v>0</v>
      </c>
      <c r="H182" s="3">
        <f t="shared" si="8"/>
        <v>0</v>
      </c>
    </row>
    <row r="183" spans="1:8">
      <c r="A183" t="s">
        <v>37</v>
      </c>
      <c r="B183" t="s">
        <v>10</v>
      </c>
      <c r="C183" s="1"/>
      <c r="D183" s="1"/>
      <c r="E183" s="1"/>
      <c r="F183" s="3">
        <f>IF(ISBLANK(C183),0,IF(C183&gt;=参数底稿!$F$26,10,IF(C183&lt;=参数底稿!$E$26,1,1+9*(C183-参数底稿!$E$26)/(参数底稿!$F$26-参数底稿!$E$26))))</f>
        <v>0</v>
      </c>
      <c r="G183" s="3">
        <f>IF(ISBLANK(E183),0,IF(E183&gt;=参数底稿!$F$27,10,IF(E183&lt;=参数底稿!$E$27,1,1+9*(E183-参数底稿!$E$27)/(参数底稿!$F$27-参数底稿!$E$27))))</f>
        <v>0</v>
      </c>
      <c r="H183" s="3">
        <f t="shared" si="8"/>
        <v>0</v>
      </c>
    </row>
    <row r="184" spans="1:8">
      <c r="A184" t="s">
        <v>37</v>
      </c>
      <c r="B184" t="s">
        <v>15</v>
      </c>
      <c r="C184" s="1"/>
      <c r="D184" s="1"/>
      <c r="E184" s="1"/>
      <c r="F184" s="3">
        <f>IF(ISBLANK(C184),0,IF(C184&gt;=参数底稿!$F$26,10,IF(C184&lt;=参数底稿!$E$26,1,1+9*(C184-参数底稿!$E$26)/(参数底稿!$F$26-参数底稿!$E$26))))</f>
        <v>0</v>
      </c>
      <c r="G184" s="3">
        <f>IF(ISBLANK(E184),0,IF(E184&gt;=参数底稿!$F$27,10,IF(E184&lt;=参数底稿!$E$27,1,1+9*(E184-参数底稿!$E$27)/(参数底稿!$F$27-参数底稿!$E$27))))</f>
        <v>0</v>
      </c>
      <c r="H184" s="3">
        <f t="shared" si="8"/>
        <v>0</v>
      </c>
    </row>
    <row r="185" spans="1:8">
      <c r="A185" t="s">
        <v>37</v>
      </c>
      <c r="B185" t="s">
        <v>26</v>
      </c>
      <c r="C185" s="1"/>
      <c r="D185" s="1"/>
      <c r="E185" s="1"/>
      <c r="F185" s="3">
        <f>IF(ISBLANK(C185),0,IF(C185&gt;=参数底稿!$F$26,10,IF(C185&lt;=参数底稿!$E$26,1,1+9*(C185-参数底稿!$E$26)/(参数底稿!$F$26-参数底稿!$E$26))))</f>
        <v>0</v>
      </c>
      <c r="G185" s="3">
        <f>IF(ISBLANK(E185),0,IF(E185&gt;=参数底稿!$F$27,10,IF(E185&lt;=参数底稿!$E$27,1,1+9*(E185-参数底稿!$E$27)/(参数底稿!$F$27-参数底稿!$E$27))))</f>
        <v>0</v>
      </c>
      <c r="H185" s="3">
        <f t="shared" si="8"/>
        <v>0</v>
      </c>
    </row>
    <row r="186" spans="1:8">
      <c r="A186" t="s">
        <v>37</v>
      </c>
      <c r="B186" t="s">
        <v>11</v>
      </c>
      <c r="C186" s="1"/>
      <c r="D186" s="1"/>
      <c r="E186" s="1"/>
      <c r="F186" s="3">
        <f>IF(ISBLANK(C186),0,IF(C186&gt;=参数底稿!$F$26,10,IF(C186&lt;=参数底稿!$E$26,1,1+9*(C186-参数底稿!$E$26)/(参数底稿!$F$26-参数底稿!$E$26))))</f>
        <v>0</v>
      </c>
      <c r="G186" s="3">
        <f>IF(ISBLANK(E186),0,IF(E186&gt;=参数底稿!$F$27,10,IF(E186&lt;=参数底稿!$E$27,1,1+9*(E186-参数底稿!$E$27)/(参数底稿!$F$27-参数底稿!$E$27))))</f>
        <v>0</v>
      </c>
      <c r="H186" s="3">
        <f t="shared" si="8"/>
        <v>0</v>
      </c>
    </row>
    <row r="187" spans="1:8">
      <c r="A187" t="s">
        <v>37</v>
      </c>
      <c r="B187" t="s">
        <v>28</v>
      </c>
      <c r="C187" s="1"/>
      <c r="D187" s="1"/>
      <c r="E187" s="1"/>
      <c r="F187" s="3">
        <f>IF(ISBLANK(C187),0,IF(C187&gt;=参数底稿!$F$26,10,IF(C187&lt;=参数底稿!$E$26,1,1+9*(C187-参数底稿!$E$26)/(参数底稿!$F$26-参数底稿!$E$26))))</f>
        <v>0</v>
      </c>
      <c r="G187" s="3">
        <f>IF(ISBLANK(E187),0,IF(E187&gt;=参数底稿!$F$27,10,IF(E187&lt;=参数底稿!$E$27,1,1+9*(E187-参数底稿!$E$27)/(参数底稿!$F$27-参数底稿!$E$27))))</f>
        <v>0</v>
      </c>
      <c r="H187" s="3">
        <f t="shared" si="8"/>
        <v>0</v>
      </c>
    </row>
    <row r="188" spans="1:8">
      <c r="A188" t="s">
        <v>37</v>
      </c>
      <c r="B188" t="s">
        <v>19</v>
      </c>
      <c r="C188" s="1"/>
      <c r="D188" s="1"/>
      <c r="E188" s="1"/>
      <c r="F188" s="3">
        <f>IF(ISBLANK(C188),0,IF(C188&gt;=参数底稿!$F$26,10,IF(C188&lt;=参数底稿!$E$26,1,1+9*(C188-参数底稿!$E$26)/(参数底稿!$F$26-参数底稿!$E$26))))</f>
        <v>0</v>
      </c>
      <c r="G188" s="3">
        <f>IF(ISBLANK(E188),0,IF(E188&gt;=参数底稿!$F$27,10,IF(E188&lt;=参数底稿!$E$27,1,1+9*(E188-参数底稿!$E$27)/(参数底稿!$F$27-参数底稿!$E$27))))</f>
        <v>0</v>
      </c>
      <c r="H188" s="3">
        <f t="shared" si="8"/>
        <v>0</v>
      </c>
    </row>
    <row r="189" spans="1:8">
      <c r="A189" t="s">
        <v>37</v>
      </c>
      <c r="B189" t="s">
        <v>27</v>
      </c>
      <c r="C189" s="1"/>
      <c r="D189" s="1"/>
      <c r="E189" s="1"/>
      <c r="F189" s="3">
        <f>IF(ISBLANK(C189),0,IF(C189&gt;=参数底稿!$F$26,10,IF(C189&lt;=参数底稿!$E$26,1,1+9*(C189-参数底稿!$E$26)/(参数底稿!$F$26-参数底稿!$E$26))))</f>
        <v>0</v>
      </c>
      <c r="G189" s="3">
        <f>IF(ISBLANK(E189),0,IF(E189&gt;=参数底稿!$F$27,10,IF(E189&lt;=参数底稿!$E$27,1,1+9*(E189-参数底稿!$E$27)/(参数底稿!$F$27-参数底稿!$E$27))))</f>
        <v>0</v>
      </c>
      <c r="H189" s="3">
        <f t="shared" si="8"/>
        <v>0</v>
      </c>
    </row>
    <row r="190" spans="3:5">
      <c r="C190" s="1"/>
      <c r="D190" s="1"/>
      <c r="E190" s="1"/>
    </row>
    <row r="191" spans="1:8">
      <c r="A191" t="s">
        <v>38</v>
      </c>
      <c r="B191" t="s">
        <v>22</v>
      </c>
      <c r="C191" s="1">
        <v>0.0702276359630509</v>
      </c>
      <c r="D191" s="1"/>
      <c r="E191" s="1"/>
      <c r="F191"/>
      <c r="G191" s="3">
        <f>IF(ISBLANK(C191),0,IF(C191&gt;=参数底稿!$F$30,10,IF(C191&lt;=参数底稿!$E$30,1,1+9*(C191-参数底稿!$E$30)/(参数底稿!$F$30-参数底稿!$E$30))))</f>
        <v>10</v>
      </c>
      <c r="H191" s="3">
        <f>G191</f>
        <v>10</v>
      </c>
    </row>
    <row r="192" spans="1:8">
      <c r="A192" t="s">
        <v>38</v>
      </c>
      <c r="B192" t="s">
        <v>13</v>
      </c>
      <c r="C192" s="1">
        <v>0.0677549506098409</v>
      </c>
      <c r="D192" s="1"/>
      <c r="E192" s="1"/>
      <c r="F192"/>
      <c r="G192" s="3">
        <f>IF(ISBLANK(C192),0,IF(C192&gt;=参数底稿!$F$30,10,IF(C192&lt;=参数底稿!$E$30,1,1+9*(C192-参数底稿!$E$30)/(参数底稿!$F$30-参数底稿!$E$30))))</f>
        <v>10</v>
      </c>
      <c r="H192" s="3">
        <f t="shared" ref="H192:H210" si="9">G192</f>
        <v>10</v>
      </c>
    </row>
    <row r="193" spans="1:8">
      <c r="A193" t="s">
        <v>38</v>
      </c>
      <c r="B193" t="s">
        <v>21</v>
      </c>
      <c r="C193" s="1">
        <v>0.0658850607782493</v>
      </c>
      <c r="D193" s="1"/>
      <c r="E193" s="1"/>
      <c r="F193"/>
      <c r="G193" s="3">
        <f>IF(ISBLANK(C193),0,IF(C193&gt;=参数底稿!$F$30,10,IF(C193&lt;=参数底稿!$E$30,1,1+9*(C193-参数底稿!$E$30)/(参数底稿!$F$30-参数底稿!$E$30))))</f>
        <v>9.98893370564639</v>
      </c>
      <c r="H193" s="3">
        <f t="shared" si="9"/>
        <v>9.98893370564639</v>
      </c>
    </row>
    <row r="194" spans="1:8">
      <c r="A194" t="s">
        <v>38</v>
      </c>
      <c r="B194" t="s">
        <v>9</v>
      </c>
      <c r="C194" s="1">
        <v>0.0205696202531646</v>
      </c>
      <c r="D194" s="1"/>
      <c r="E194" s="1"/>
      <c r="F194"/>
      <c r="G194" s="3">
        <f>IF(ISBLANK(C194),0,IF(C194&gt;=参数底稿!$F$30,10,IF(C194&lt;=参数底稿!$E$30,1,1+9*(C194-参数底稿!$E$30)/(参数底稿!$F$30-参数底稿!$E$30))))</f>
        <v>7.30638266623572</v>
      </c>
      <c r="H194" s="3">
        <f t="shared" si="9"/>
        <v>7.30638266623572</v>
      </c>
    </row>
    <row r="195" spans="1:8">
      <c r="A195" t="s">
        <v>38</v>
      </c>
      <c r="B195" t="s">
        <v>19</v>
      </c>
      <c r="C195" s="1">
        <v>0.00581143204094024</v>
      </c>
      <c r="D195" s="1"/>
      <c r="E195" s="1"/>
      <c r="F195"/>
      <c r="G195" s="3">
        <f>IF(ISBLANK(C195),0,IF(C195&gt;=参数底稿!$F$30,10,IF(C195&lt;=参数底稿!$E$30,1,1+9*(C195-参数底稿!$E$30)/(参数底稿!$F$30-参数底稿!$E$30))))</f>
        <v>6.43273799524095</v>
      </c>
      <c r="H195" s="3">
        <f t="shared" si="9"/>
        <v>6.43273799524095</v>
      </c>
    </row>
    <row r="196" spans="1:8">
      <c r="A196" t="s">
        <v>38</v>
      </c>
      <c r="B196" t="s">
        <v>23</v>
      </c>
      <c r="C196" s="1">
        <v>-0.0108548741341443</v>
      </c>
      <c r="D196" s="1"/>
      <c r="E196" s="1"/>
      <c r="F196"/>
      <c r="G196" s="3">
        <f>IF(ISBLANK(C196),0,IF(C196&gt;=参数底稿!$F$30,10,IF(C196&lt;=参数底稿!$E$30,1,1+9*(C196-参数底稿!$E$30)/(参数底稿!$F$30-参数底稿!$E$30))))</f>
        <v>5.44613792173265</v>
      </c>
      <c r="H196" s="3">
        <f t="shared" si="9"/>
        <v>5.44613792173265</v>
      </c>
    </row>
    <row r="197" spans="1:8">
      <c r="A197" t="s">
        <v>38</v>
      </c>
      <c r="B197" t="s">
        <v>11</v>
      </c>
      <c r="C197" s="1">
        <v>-0.0128312412831241</v>
      </c>
      <c r="D197" s="1"/>
      <c r="E197" s="1"/>
      <c r="F197"/>
      <c r="G197" s="3">
        <f>IF(ISBLANK(C197),0,IF(C197&gt;=参数底稿!$F$30,10,IF(C197&lt;=参数底稿!$E$30,1,1+9*(C197-参数底稿!$E$30)/(参数底稿!$F$30-参数底稿!$E$30))))</f>
        <v>5.32914235270981</v>
      </c>
      <c r="H197" s="3">
        <f t="shared" si="9"/>
        <v>5.32914235270981</v>
      </c>
    </row>
    <row r="198" spans="1:8">
      <c r="A198" t="s">
        <v>38</v>
      </c>
      <c r="B198" t="s">
        <v>15</v>
      </c>
      <c r="C198" s="1">
        <v>-0.0200501253132832</v>
      </c>
      <c r="D198" s="1"/>
      <c r="E198" s="1"/>
      <c r="F198"/>
      <c r="G198" s="3">
        <f>IF(ISBLANK(C198),0,IF(C198&gt;=参数底稿!$F$30,10,IF(C198&lt;=参数底稿!$E$30,1,1+9*(C198-参数底稿!$E$30)/(参数底稿!$F$30-参数底稿!$E$30))))</f>
        <v>4.90180401870931</v>
      </c>
      <c r="H198" s="3">
        <f t="shared" si="9"/>
        <v>4.90180401870931</v>
      </c>
    </row>
    <row r="199" spans="1:8">
      <c r="A199" t="s">
        <v>38</v>
      </c>
      <c r="B199" t="s">
        <v>17</v>
      </c>
      <c r="C199" s="1">
        <v>-0.0254581367277516</v>
      </c>
      <c r="D199" s="1"/>
      <c r="E199" s="1"/>
      <c r="F199"/>
      <c r="G199" s="3">
        <f>IF(ISBLANK(C199),0,IF(C199&gt;=参数底稿!$F$30,10,IF(C199&lt;=参数底稿!$E$30,1,1+9*(C199-参数底稿!$E$30)/(参数底稿!$F$30-参数底稿!$E$30))))</f>
        <v>4.58166442670873</v>
      </c>
      <c r="H199" s="3">
        <f t="shared" si="9"/>
        <v>4.58166442670873</v>
      </c>
    </row>
    <row r="200" spans="1:8">
      <c r="A200" t="s">
        <v>38</v>
      </c>
      <c r="B200" t="s">
        <v>18</v>
      </c>
      <c r="C200" s="1">
        <v>-0.0304807983066223</v>
      </c>
      <c r="D200" s="1"/>
      <c r="E200" s="1"/>
      <c r="F200"/>
      <c r="G200" s="3">
        <f>IF(ISBLANK(C200),0,IF(C200&gt;=参数底稿!$F$30,10,IF(C200&lt;=参数底稿!$E$30,1,1+9*(C200-参数底稿!$E$30)/(参数底稿!$F$30-参数底稿!$E$30))))</f>
        <v>4.28433649868055</v>
      </c>
      <c r="H200" s="3">
        <f t="shared" si="9"/>
        <v>4.28433649868055</v>
      </c>
    </row>
    <row r="201" spans="1:8">
      <c r="A201" t="s">
        <v>38</v>
      </c>
      <c r="B201" t="s">
        <v>27</v>
      </c>
      <c r="C201" s="1">
        <v>-0.0332054309327037</v>
      </c>
      <c r="D201" s="1"/>
      <c r="E201" s="1"/>
      <c r="F201"/>
      <c r="G201" s="3">
        <f>IF(ISBLANK(C201),0,IF(C201&gt;=参数底稿!$F$30,10,IF(C201&lt;=参数底稿!$E$30,1,1+9*(C201-参数底稿!$E$30)/(参数底稿!$F$30-参数底稿!$E$30))))</f>
        <v>4.12304564509035</v>
      </c>
      <c r="H201" s="3">
        <f t="shared" si="9"/>
        <v>4.12304564509035</v>
      </c>
    </row>
    <row r="202" spans="1:8">
      <c r="A202" t="s">
        <v>38</v>
      </c>
      <c r="B202" t="s">
        <v>14</v>
      </c>
      <c r="C202" s="1">
        <v>-0.0421359099052982</v>
      </c>
      <c r="D202" s="1"/>
      <c r="E202" s="1"/>
      <c r="F202"/>
      <c r="G202" s="3">
        <f>IF(ISBLANK(C202),0,IF(C202&gt;=参数底稿!$F$30,10,IF(C202&lt;=参数底稿!$E$30,1,1+9*(C202-参数底稿!$E$30)/(参数底稿!$F$30-参数底稿!$E$30))))</f>
        <v>3.59438553778968</v>
      </c>
      <c r="H202" s="3">
        <f t="shared" si="9"/>
        <v>3.59438553778968</v>
      </c>
    </row>
    <row r="203" spans="1:8">
      <c r="A203" t="s">
        <v>38</v>
      </c>
      <c r="B203" t="s">
        <v>20</v>
      </c>
      <c r="C203" s="1">
        <v>-0.0535704661816222</v>
      </c>
      <c r="D203" s="1"/>
      <c r="E203" s="1"/>
      <c r="F203"/>
      <c r="G203" s="3">
        <f>IF(ISBLANK(C203),0,IF(C203&gt;=参数底稿!$F$30,10,IF(C203&lt;=参数底稿!$E$30,1,1+9*(C203-参数底稿!$E$30)/(参数底稿!$F$30-参数底稿!$E$30))))</f>
        <v>2.91749085313417</v>
      </c>
      <c r="H203" s="3">
        <f t="shared" si="9"/>
        <v>2.91749085313417</v>
      </c>
    </row>
    <row r="204" spans="1:8">
      <c r="A204" t="s">
        <v>38</v>
      </c>
      <c r="B204" t="s">
        <v>12</v>
      </c>
      <c r="C204" s="1">
        <v>-0.0665144162146731</v>
      </c>
      <c r="D204" s="1"/>
      <c r="E204" s="1"/>
      <c r="F204"/>
      <c r="G204" s="3">
        <f>IF(ISBLANK(C204),0,IF(C204&gt;=参数底稿!$F$30,10,IF(C204&lt;=参数底稿!$E$30,1,1+9*(C204-参数底稿!$E$30)/(参数底稿!$F$30-参数底稿!$E$30))))</f>
        <v>2.15124415635938</v>
      </c>
      <c r="H204" s="3">
        <f t="shared" si="9"/>
        <v>2.15124415635938</v>
      </c>
    </row>
    <row r="205" spans="1:8">
      <c r="A205" t="s">
        <v>38</v>
      </c>
      <c r="B205" t="s">
        <v>24</v>
      </c>
      <c r="C205" s="1">
        <v>-0.0675368482804136</v>
      </c>
      <c r="D205" s="1"/>
      <c r="E205" s="1"/>
      <c r="F205"/>
      <c r="G205" s="3">
        <f>IF(ISBLANK(C205),0,IF(C205&gt;=参数底稿!$F$30,10,IF(C205&lt;=参数底稿!$E$30,1,1+9*(C205-参数底稿!$E$30)/(参数底稿!$F$30-参数底稿!$E$30))))</f>
        <v>2.09071895415682</v>
      </c>
      <c r="H205" s="3">
        <f t="shared" si="9"/>
        <v>2.09071895415682</v>
      </c>
    </row>
    <row r="206" spans="1:8">
      <c r="A206" t="s">
        <v>38</v>
      </c>
      <c r="B206" t="s">
        <v>16</v>
      </c>
      <c r="C206" s="1">
        <v>-0.0691462383770076</v>
      </c>
      <c r="D206" s="1"/>
      <c r="E206" s="1"/>
      <c r="F206"/>
      <c r="G206" s="3">
        <f>IF(ISBLANK(C206),0,IF(C206&gt;=参数底稿!$F$30,10,IF(C206&lt;=参数底稿!$E$30,1,1+9*(C206-参数底稿!$E$30)/(参数底稿!$F$30-参数底稿!$E$30))))</f>
        <v>1.99544743022568</v>
      </c>
      <c r="H206" s="3">
        <f t="shared" si="9"/>
        <v>1.99544743022568</v>
      </c>
    </row>
    <row r="207" spans="1:8">
      <c r="A207" t="s">
        <v>38</v>
      </c>
      <c r="B207" t="s">
        <v>25</v>
      </c>
      <c r="C207" s="1">
        <v>-0.0717994362854176</v>
      </c>
      <c r="D207" s="1"/>
      <c r="E207" s="1"/>
      <c r="F207"/>
      <c r="G207" s="3">
        <f>IF(ISBLANK(C207),0,IF(C207&gt;=参数底稿!$F$30,10,IF(C207&lt;=参数底稿!$E$30,1,1+9*(C207-参数底稿!$E$30)/(参数底稿!$F$30-参数底稿!$E$30))))</f>
        <v>1.83838531796336</v>
      </c>
      <c r="H207" s="3">
        <f t="shared" si="9"/>
        <v>1.83838531796336</v>
      </c>
    </row>
    <row r="208" spans="1:8">
      <c r="A208" t="s">
        <v>38</v>
      </c>
      <c r="B208" t="s">
        <v>26</v>
      </c>
      <c r="C208" s="1">
        <v>-0.0843675916887463</v>
      </c>
      <c r="D208" s="1"/>
      <c r="E208" s="1"/>
      <c r="F208"/>
      <c r="G208" s="3">
        <f>IF(ISBLANK(C208),0,IF(C208&gt;=参数底稿!$F$30,10,IF(C208&lt;=参数底稿!$E$30,1,1+9*(C208-参数底稿!$E$30)/(参数底稿!$F$30-参数底稿!$E$30))))</f>
        <v>1.09438464291726</v>
      </c>
      <c r="H208" s="3">
        <f t="shared" si="9"/>
        <v>1.09438464291726</v>
      </c>
    </row>
    <row r="209" spans="1:8">
      <c r="A209" t="s">
        <v>38</v>
      </c>
      <c r="B209" t="s">
        <v>10</v>
      </c>
      <c r="C209" s="1">
        <v>-0.100313256443115</v>
      </c>
      <c r="D209" s="1"/>
      <c r="E209" s="1"/>
      <c r="F209"/>
      <c r="G209" s="3">
        <f>IF(ISBLANK(C209),0,IF(C209&gt;=参数底稿!$F$30,10,IF(C209&lt;=参数底稿!$E$30,1,1+9*(C209-参数底稿!$E$30)/(参数底稿!$F$30-参数底稿!$E$30))))</f>
        <v>1</v>
      </c>
      <c r="H209" s="3">
        <f t="shared" si="9"/>
        <v>1</v>
      </c>
    </row>
    <row r="210" spans="1:8">
      <c r="A210" t="s">
        <v>38</v>
      </c>
      <c r="B210" t="s">
        <v>28</v>
      </c>
      <c r="C210" s="1">
        <v>-0.154233025984912</v>
      </c>
      <c r="D210" s="1"/>
      <c r="E210" s="1"/>
      <c r="F210"/>
      <c r="G210" s="3">
        <f>IF(ISBLANK(C210),0,IF(C210&gt;=参数底稿!$F$30,10,IF(C210&lt;=参数底稿!$E$30,1,1+9*(C210-参数底稿!$E$30)/(参数底稿!$F$30-参数底稿!$E$30))))</f>
        <v>1</v>
      </c>
      <c r="H210" s="3">
        <f t="shared" si="9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E3" sqref="E3"/>
    </sheetView>
  </sheetViews>
  <sheetFormatPr defaultColWidth="9" defaultRowHeight="16.8" outlineLevelCol="6"/>
  <cols>
    <col min="7" max="7" width="16.5096153846154" customWidth="1"/>
  </cols>
  <sheetData>
    <row r="1" spans="1:7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8</v>
      </c>
      <c r="B2" t="s">
        <v>45</v>
      </c>
      <c r="C2" t="s">
        <v>46</v>
      </c>
      <c r="D2">
        <v>14</v>
      </c>
      <c r="E2">
        <v>1.539141</v>
      </c>
      <c r="F2">
        <v>2.128523</v>
      </c>
      <c r="G2">
        <v>0.589382</v>
      </c>
    </row>
    <row r="3" spans="1:7">
      <c r="A3" t="s">
        <v>8</v>
      </c>
      <c r="B3" t="s">
        <v>47</v>
      </c>
      <c r="C3" t="s">
        <v>48</v>
      </c>
      <c r="D3">
        <v>13</v>
      </c>
      <c r="E3">
        <v>-0.062903</v>
      </c>
      <c r="F3">
        <v>0.058469</v>
      </c>
      <c r="G3">
        <v>0.121372</v>
      </c>
    </row>
    <row r="5" spans="1:7">
      <c r="A5" t="s">
        <v>29</v>
      </c>
      <c r="B5" t="s">
        <v>45</v>
      </c>
      <c r="C5" t="s">
        <v>46</v>
      </c>
      <c r="D5">
        <v>14</v>
      </c>
      <c r="E5">
        <v>2.336428</v>
      </c>
      <c r="F5">
        <v>4.737165</v>
      </c>
      <c r="G5">
        <v>2.400736</v>
      </c>
    </row>
    <row r="6" spans="1:7">
      <c r="A6" t="s">
        <v>29</v>
      </c>
      <c r="B6" t="s">
        <v>47</v>
      </c>
      <c r="C6" t="s">
        <v>48</v>
      </c>
      <c r="D6">
        <v>13</v>
      </c>
      <c r="E6">
        <v>-0.201705</v>
      </c>
      <c r="F6">
        <v>0.030489</v>
      </c>
      <c r="G6">
        <v>0.232193</v>
      </c>
    </row>
    <row r="8" spans="1:7">
      <c r="A8" t="s">
        <v>30</v>
      </c>
      <c r="B8" t="s">
        <v>45</v>
      </c>
      <c r="C8" t="s">
        <v>46</v>
      </c>
      <c r="D8">
        <v>19</v>
      </c>
      <c r="E8">
        <v>1.342</v>
      </c>
      <c r="F8">
        <v>3.524</v>
      </c>
      <c r="G8">
        <v>2.182</v>
      </c>
    </row>
    <row r="9" spans="1:7">
      <c r="A9" t="s">
        <v>30</v>
      </c>
      <c r="B9" t="s">
        <v>47</v>
      </c>
      <c r="C9" t="s">
        <v>48</v>
      </c>
      <c r="D9">
        <v>17</v>
      </c>
      <c r="E9">
        <v>-0.082025</v>
      </c>
      <c r="F9">
        <v>0.154146</v>
      </c>
      <c r="G9">
        <v>0.236171</v>
      </c>
    </row>
    <row r="11" spans="1:7">
      <c r="A11" t="s">
        <v>32</v>
      </c>
      <c r="B11" t="s">
        <v>45</v>
      </c>
      <c r="C11" t="s">
        <v>48</v>
      </c>
      <c r="D11">
        <v>16</v>
      </c>
      <c r="E11">
        <v>0.000179</v>
      </c>
      <c r="F11">
        <v>0.065213</v>
      </c>
      <c r="G11">
        <v>0.065034</v>
      </c>
    </row>
    <row r="12" spans="1:7">
      <c r="A12" t="s">
        <v>32</v>
      </c>
      <c r="B12" t="s">
        <v>47</v>
      </c>
      <c r="C12" t="s">
        <v>48</v>
      </c>
      <c r="D12">
        <v>14</v>
      </c>
      <c r="E12">
        <v>-0.084002</v>
      </c>
      <c r="F12">
        <v>0.722751</v>
      </c>
      <c r="G12">
        <v>0.806754</v>
      </c>
    </row>
    <row r="14" spans="1:7">
      <c r="A14" t="s">
        <v>33</v>
      </c>
      <c r="B14" t="s">
        <v>45</v>
      </c>
      <c r="C14" t="s">
        <v>48</v>
      </c>
      <c r="D14">
        <v>12</v>
      </c>
      <c r="E14">
        <v>0.00359</v>
      </c>
      <c r="F14">
        <v>0.10952</v>
      </c>
      <c r="G14">
        <v>0.10593</v>
      </c>
    </row>
    <row r="15" spans="1:7">
      <c r="A15" t="s">
        <v>33</v>
      </c>
      <c r="B15" t="s">
        <v>47</v>
      </c>
      <c r="C15" t="s">
        <v>48</v>
      </c>
      <c r="D15">
        <v>10</v>
      </c>
      <c r="E15">
        <v>0.001539</v>
      </c>
      <c r="F15">
        <v>5.31016</v>
      </c>
      <c r="G15">
        <v>5.308621</v>
      </c>
    </row>
    <row r="17" spans="1:7">
      <c r="A17" t="s">
        <v>34</v>
      </c>
      <c r="B17" t="s">
        <v>45</v>
      </c>
      <c r="C17" t="s">
        <v>48</v>
      </c>
      <c r="D17">
        <v>20</v>
      </c>
      <c r="E17">
        <v>0.001664</v>
      </c>
      <c r="F17">
        <v>0.039424</v>
      </c>
      <c r="G17">
        <v>0.03776</v>
      </c>
    </row>
    <row r="18" spans="1:7">
      <c r="A18" t="s">
        <v>34</v>
      </c>
      <c r="B18" t="s">
        <v>47</v>
      </c>
      <c r="C18" t="s">
        <v>48</v>
      </c>
      <c r="D18">
        <v>20</v>
      </c>
      <c r="E18">
        <v>-0.050337</v>
      </c>
      <c r="F18">
        <v>0.316321</v>
      </c>
      <c r="G18">
        <v>0.366657</v>
      </c>
    </row>
    <row r="20" spans="1:7">
      <c r="A20" t="s">
        <v>35</v>
      </c>
      <c r="B20" t="s">
        <v>45</v>
      </c>
      <c r="C20" t="s">
        <v>48</v>
      </c>
      <c r="D20">
        <v>7</v>
      </c>
      <c r="E20">
        <v>0.002384</v>
      </c>
      <c r="F20">
        <v>0.015414</v>
      </c>
      <c r="G20">
        <v>0.01303</v>
      </c>
    </row>
    <row r="21" spans="1:7">
      <c r="A21" t="s">
        <v>35</v>
      </c>
      <c r="B21" t="s">
        <v>47</v>
      </c>
      <c r="C21" t="s">
        <v>48</v>
      </c>
      <c r="D21">
        <v>5</v>
      </c>
      <c r="E21">
        <v>-0.767444</v>
      </c>
      <c r="F21">
        <v>4.431909</v>
      </c>
      <c r="G21">
        <v>5.199353</v>
      </c>
    </row>
    <row r="23" spans="1:7">
      <c r="A23" t="s">
        <v>36</v>
      </c>
      <c r="B23" t="s">
        <v>45</v>
      </c>
      <c r="C23" t="s">
        <v>48</v>
      </c>
      <c r="D23">
        <v>19</v>
      </c>
      <c r="E23">
        <v>0.003523</v>
      </c>
      <c r="F23">
        <v>0.05368</v>
      </c>
      <c r="G23">
        <v>0.050156</v>
      </c>
    </row>
    <row r="24" spans="1:7">
      <c r="A24" t="s">
        <v>36</v>
      </c>
      <c r="B24" t="s">
        <v>47</v>
      </c>
      <c r="C24" t="s">
        <v>48</v>
      </c>
      <c r="D24">
        <v>19</v>
      </c>
      <c r="E24">
        <v>-0.735582</v>
      </c>
      <c r="F24">
        <v>1.859879</v>
      </c>
      <c r="G24">
        <v>2.595461</v>
      </c>
    </row>
    <row r="26" spans="1:7">
      <c r="A26" t="s">
        <v>37</v>
      </c>
      <c r="B26" t="s">
        <v>45</v>
      </c>
      <c r="C26" t="s">
        <v>48</v>
      </c>
      <c r="D26">
        <v>7</v>
      </c>
      <c r="E26">
        <v>0.064947</v>
      </c>
      <c r="F26">
        <v>0.207844</v>
      </c>
      <c r="G26">
        <v>0.142898</v>
      </c>
    </row>
    <row r="27" spans="1:7">
      <c r="A27" t="s">
        <v>37</v>
      </c>
      <c r="B27" t="s">
        <v>47</v>
      </c>
      <c r="C27" t="s">
        <v>48</v>
      </c>
      <c r="D27">
        <v>6</v>
      </c>
      <c r="E27">
        <v>-0.036225</v>
      </c>
      <c r="F27">
        <v>3.857208</v>
      </c>
      <c r="G27">
        <v>3.893433</v>
      </c>
    </row>
    <row r="29" spans="1:7">
      <c r="A29" t="s">
        <v>38</v>
      </c>
      <c r="B29" t="s">
        <v>45</v>
      </c>
      <c r="C29" t="s">
        <v>48</v>
      </c>
      <c r="D29">
        <v>20</v>
      </c>
      <c r="E29">
        <v>-0.085962</v>
      </c>
      <c r="F29">
        <v>0.066072</v>
      </c>
      <c r="G29">
        <v>0.152034</v>
      </c>
    </row>
    <row r="30" spans="1:7">
      <c r="A30" t="s">
        <v>38</v>
      </c>
      <c r="B30" t="s">
        <v>49</v>
      </c>
      <c r="C30" t="s">
        <v>48</v>
      </c>
      <c r="D30">
        <v>20</v>
      </c>
      <c r="E30">
        <v>-0.085962</v>
      </c>
      <c r="F30">
        <v>0.066072</v>
      </c>
      <c r="G30">
        <v>0.152034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统一打分计算</vt:lpstr>
      <vt:lpstr>参数底稿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</cp:lastModifiedBy>
  <dcterms:created xsi:type="dcterms:W3CDTF">2026-05-15T00:28:00Z</dcterms:created>
  <dcterms:modified xsi:type="dcterms:W3CDTF">2026-05-14T11:47:05Z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2F1CB59F06231983B945056A6CF2E4CE_43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0</vt:i4>
  </property>
</Properties>
</file>